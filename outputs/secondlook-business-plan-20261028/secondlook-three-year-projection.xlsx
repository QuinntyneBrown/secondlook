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7884c021b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cb99eb878a4190"/>
    <x:sheet xmlns:r="http://schemas.openxmlformats.org/officeDocument/2006/relationships" name="Assumptions" sheetId="2" r:id="R8328bed814b74d69"/>
    <x:sheet xmlns:r="http://schemas.openxmlformats.org/officeDocument/2006/relationships" name="Forecast" sheetId="3" r:id="R1ca89b892b4b4f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(#,##0);&quot;—&quot;"/>
    <x:numFmt numFmtId="201" formatCode="0.00&quot;×&quot;"/>
    <x:numFmt numFmtId="202" formatCode="0.0%;(0.0%);&quot;—&quot;"/>
    <x:numFmt numFmtId="203" formatCode="&quot;$&quot;0.00"/>
    <x:numFmt numFmtId="204" formatCode="0.00"/>
    <x:numFmt numFmtId="205" formatCode="#,##0.0"/>
    <x:numFmt numFmtId="206" formatCode="&quot;$&quot;#,##0;(&quot;$&quot;#,##0);&quot;—&quot;"/>
  </x:numFmts>
  <x:fonts count="12">
    <x:font>
      <x:sz val="11"/>
      <x:name val="Carlito"/>
    </x:font>
    <x:font>
      <x:sz val="10"/>
      <x:color rgb="FF14181F"/>
      <x:name val="Arial"/>
    </x:font>
    <x:font>
      <x:b/>
      <x:sz val="16"/>
      <x:color rgb="FFC74C00"/>
      <x:name val="Arial"/>
    </x:font>
    <x:font>
      <x:b/>
      <x:sz val="10"/>
      <x:color rgb="FFFFFFFF"/>
      <x:name val="Arial"/>
    </x:font>
    <x:font>
      <x:sz val="10"/>
      <x:color rgb="FF1558B0"/>
      <x:name val="Arial"/>
    </x:font>
    <x:font>
      <x:sz val="9"/>
      <x:color rgb="FF14181F"/>
      <x:name val="Arial"/>
    </x:font>
    <x:font>
      <x:b/>
      <x:sz val="10"/>
      <x:color rgb="FF1558B0"/>
      <x:name val="Arial"/>
    </x:font>
    <x:font>
      <x:sz val="10"/>
      <x:color rgb="FF167243"/>
      <x:name val="Arial"/>
    </x:font>
    <x:font>
      <x:i/>
      <x:sz val="10"/>
      <x:color rgb="FF14181F"/>
      <x:name val="Arial"/>
    </x:font>
    <x:font>
      <x:i/>
      <x:sz val="10"/>
      <x:color rgb="FF167243"/>
      <x:name val="Arial"/>
    </x:font>
    <x:font>
      <x:b/>
      <x:sz val="10"/>
      <x:color rgb="FF14181F"/>
      <x:name val="Arial"/>
    </x:font>
    <x:font>
      <x:b/>
      <x:sz val="10"/>
      <x:color rgb="FF1672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4181F"/>
      </x:patternFill>
    </x:fill>
    <x:fill>
      <x:patternFill patternType="solid">
        <x:fgColor rgb="FFFFF1D6"/>
      </x:patternFill>
    </x:fill>
    <x:fill>
      <x:patternFill patternType="solid">
        <x:fgColor rgb="FFF0EDE5"/>
      </x:patternFill>
    </x:fill>
    <x:fill>
      <x:patternFill patternType="solid">
        <x:fgColor rgb="FFFCE9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0" fontId="10" fillId="4" borderId="0" xfId="0" applyNumberFormat="1" applyFont="1" applyFill="1" applyBorder="1" applyAlignment="1">
      <x:alignment vertical="center"/>
    </x:xf>
    <x:xf numFmtId="206" fontId="1" fillId="4" borderId="0" xfId="0" applyNumberFormat="1" applyFont="1" applyFill="1" applyBorder="1" applyAlignment="1">
      <x:alignment vertical="center"/>
    </x:xf>
    <x:xf numFmtId="206" fontId="10" fillId="4" borderId="0" xfId="0" applyNumberFormat="1" applyFont="1" applyFill="1" applyBorder="1" applyAlignment="1">
      <x:alignment vertical="center"/>
    </x:xf>
    <x:xf numFmtId="206" fontId="7" fillId="4" borderId="0" xfId="0" applyNumberFormat="1" applyFont="1" applyFill="1" applyBorder="1" applyAlignment="1">
      <x:alignment vertical="center"/>
    </x:xf>
    <x:xf numFmtId="206" fontId="1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6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6" fontId="10" fillId="5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2820"/>
      </x:font>
      <x:fill>
        <x:patternFill patternType="solid">
          <x:bgColor rgb="FFFDE4DF"/>
        </x:patternFill>
      </x:fill>
    </x:dxf>
    <x:dxf>
      <x:font>
        <x:b/>
        <x:color rgb="FF9C2820"/>
      </x:font>
      <x:fill>
        <x:patternFill patternType="solid">
          <x:bgColor rgb="FFFD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083d1e6254722" /><Relationship Type="http://schemas.openxmlformats.org/officeDocument/2006/relationships/theme" Target="/xl/theme/theme1.xml" Id="Re7757a90a20b4d7c" /><Relationship Type="http://schemas.openxmlformats.org/officeDocument/2006/relationships/sharedStrings" Target="/xl/sharedStrings.xml" Id="R2151f573eff24e60" /><Relationship Type="http://schemas.openxmlformats.org/officeDocument/2006/relationships/worksheet" Target="/xl/worksheets/sheet1.xml" Id="R46cb99eb878a4190" /><Relationship Type="http://schemas.openxmlformats.org/officeDocument/2006/relationships/worksheet" Target="/xl/worksheets/sheet2.xml" Id="R8328bed814b74d69" /><Relationship Type="http://schemas.openxmlformats.org/officeDocument/2006/relationships/worksheet" Target="/xl/worksheets/sheet3.xml" Id="R1ca89b892b4b4f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5a25b2519e49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operating result (CAD)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ln xmlns:a="http://schemas.openxmlformats.org/drawingml/2006/main" w="19050">
              <a:solidFill>
                <a:srgbClr val="C74C00"/>
              </a:solidFill>
              <a:prstDash val="solid"/>
            </a:ln>
          </c:spPr>
          <c:marker>
            <c:symbol val="none"/>
          </c:marker>
          <c:cat>
            <c:strRef>
              <c:f>'Summary'!$H$37:$H$39</c:f>
              <c:strCache>
                <c:ptCount val="0"/>
              </c:strCache>
            </c:strRef>
          </c:cat>
          <c:val>
            <c:numRef>
              <c:f>'Summary'!$I$37:$I$39</c:f>
              <c:numCache>
                <c:formatCode>"$"#,##0;("$"#,##0);"—"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Operating result</c:v>
          </c:tx>
          <c:spPr>
            <a:ln xmlns:a="http://schemas.openxmlformats.org/drawingml/2006/main" w="19050">
              <a:solidFill>
                <a:srgbClr val="40556B"/>
              </a:solidFill>
              <a:prstDash val="solid"/>
            </a:ln>
          </c:spPr>
          <c:marker>
            <c:symbol val="none"/>
          </c:marker>
          <c:cat>
            <c:strRef>
              <c:f>'Summary'!$H$37:$H$39</c:f>
              <c:strCache>
                <c:ptCount val="0"/>
              </c:strCache>
            </c:strRef>
          </c:cat>
          <c:val>
            <c:numRef>
              <c:f>'Summary'!$J$37:$J$39</c:f>
              <c:numCache>
                <c:formatCode>"$"#,##0;("$"#,##0);"—"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5a25b2519e493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85ad7d30d7f4ba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76" hidden="0" customWidth="1"/>
  </x:cols>
  <x:sheetData>
    <x:row r="1" ht="21" customHeight="1">
      <x:c r="C1" s="4" t="str">
        <x:v>SecondLook three-year projection</x:v>
      </x:c>
      <x:c r="D1" s="3"/>
      <x:c r="E1" s="3"/>
      <x:c r="F1" s="3"/>
      <x:c r="G1" s="2"/>
      <x:c r="H1" s="2"/>
    </x:row>
    <x:row r="2" ht="21" customHeight="1">
      <x:c r="C2" s="2" t="str">
        <x:v>CAD • first three full operating years • no historical sales supplied</x:v>
      </x:c>
      <x:c r="D2" s="3"/>
      <x:c r="E2" s="3"/>
      <x:c r="F2" s="3"/>
      <x:c r="G2" s="2"/>
      <x:c r="H2" s="2"/>
    </x:row>
    <x:row r="3" ht="21" customHeight="1">
      <x:c r="C3" s="2"/>
      <x:c r="D3" s="3"/>
      <x:c r="E3" s="3"/>
      <x:c r="F3" s="3"/>
      <x:c r="G3" s="2"/>
      <x:c r="H3" s="2"/>
    </x:row>
    <x:row r="4" ht="21" customHeight="1">
      <x:c r="C4" s="2" t="str">
        <x:v>Selected demand case</x:v>
      </x:c>
      <x:c r="D4" s="18" t="str">
        <x:f>'Assumptions'!D4</x:f>
        <x:v>Base</x:v>
      </x:c>
      <x:c r="E4" s="3"/>
      <x:c r="F4" s="3"/>
      <x:c r="G4" s="2"/>
      <x:c r="H4" s="2"/>
    </x:row>
    <x:row r="5" ht="21" customHeight="1">
      <x:c r="C5" s="2"/>
      <x:c r="D5" s="3"/>
      <x:c r="E5" s="3"/>
      <x:c r="F5" s="3"/>
      <x:c r="G5" s="2"/>
      <x:c r="H5" s="2"/>
    </x:row>
    <x:row r="6" ht="21" customHeight="1">
      <x:c r="C6" s="2"/>
      <x:c r="D6" s="3"/>
      <x:c r="E6" s="3"/>
      <x:c r="F6" s="3"/>
      <x:c r="G6" s="2"/>
      <x:c r="H6" s="2"/>
    </x:row>
    <x:row r="7" ht="21" customHeight="1">
      <x:c r="C7" s="2"/>
      <x:c r="D7" s="3"/>
      <x:c r="E7" s="3"/>
      <x:c r="F7" s="3"/>
      <x:c r="G7" s="2"/>
      <x:c r="H7" s="2"/>
    </x:row>
    <x:row r="8" ht="21" customHeight="1">
      <x:c r="C8" s="2"/>
      <x:c r="D8" s="3"/>
      <x:c r="E8" s="3"/>
      <x:c r="F8" s="3"/>
      <x:c r="G8" s="2"/>
      <x:c r="H8" s="2"/>
    </x:row>
    <x:row r="9" ht="21" customHeight="1">
      <x:c r="C9" s="2"/>
      <x:c r="D9" s="3"/>
      <x:c r="E9" s="3"/>
      <x:c r="F9" s="3"/>
      <x:c r="G9" s="2"/>
      <x:c r="H9" s="2"/>
    </x:row>
    <x:row r="10" ht="21" customHeight="1">
      <x:c r="C10" s="2"/>
      <x:c r="D10" s="7" t="str">
        <x:v>Year 1</x:v>
      </x:c>
      <x:c r="E10" s="7" t="str">
        <x:v>Year 2</x:v>
      </x:c>
      <x:c r="F10" s="7" t="str">
        <x:v>Year 3</x:v>
      </x:c>
      <x:c r="G10" s="2"/>
      <x:c r="H10" s="2"/>
    </x:row>
    <x:row r="11" ht="28" customHeight="1">
      <x:c r="C11" s="42" t="str">
        <x:v>Net service revenue</x:v>
      </x:c>
      <x:c r="D11" s="43" t="n">
        <x:f>'Forecast'!D36</x:f>
        <x:v>46792.8</x:v>
      </x:c>
      <x:c r="E11" s="43" t="n">
        <x:f>'Forecast'!E36</x:f>
        <x:v>178519.77</x:v>
      </x:c>
      <x:c r="F11" s="43" t="n">
        <x:f>'Forecast'!F36</x:f>
        <x:v>512224.02</x:v>
      </x:c>
      <x:c r="G11" s="2"/>
      <x:c r="H11" s="2"/>
    </x:row>
    <x:row r="12" ht="21" customHeight="1">
      <x:c r="C12" s="2" t="str">
        <x:v>Gross service billings</x:v>
      </x:c>
      <x:c r="D12" s="30" t="n">
        <x:f>'Forecast'!D34</x:f>
        <x:v>48240</x:v>
      </x:c>
      <x:c r="E12" s="30" t="n">
        <x:f>'Forecast'!E34</x:f>
        <x:v>184041</x:v>
      </x:c>
      <x:c r="F12" s="30" t="n">
        <x:f>'Forecast'!F34</x:f>
        <x:v>528066</x:v>
      </x:c>
      <x:c r="G12" s="2"/>
      <x:c r="H12" s="2"/>
    </x:row>
    <x:row r="13" ht="21" customHeight="1">
      <x:c r="C13" s="2" t="str">
        <x:v>Served paid windows</x:v>
      </x:c>
      <x:c r="D13" s="3" t="n">
        <x:f>'Forecast'!D20</x:f>
        <x:v>720</x:v>
      </x:c>
      <x:c r="E13" s="3" t="n">
        <x:f>'Forecast'!E20</x:f>
        <x:v>2574</x:v>
      </x:c>
      <x:c r="F13" s="3" t="n">
        <x:f>'Forecast'!F20</x:f>
        <x:v>6930</x:v>
      </x:c>
      <x:c r="G13" s="2"/>
      <x:c r="H13" s="2"/>
    </x:row>
    <x:row r="14" ht="21" customHeight="1">
      <x:c r="C14" s="2" t="str">
        <x:v>Inspection bookings</x:v>
      </x:c>
      <x:c r="D14" s="3" t="n">
        <x:f>'Forecast'!D25</x:f>
        <x:v>1008</x:v>
      </x:c>
      <x:c r="E14" s="3" t="n">
        <x:f>'Forecast'!E25</x:f>
        <x:v>3861</x:v>
      </x:c>
      <x:c r="F14" s="3" t="n">
        <x:f>'Forecast'!F25</x:f>
        <x:v>11088</x:v>
      </x:c>
      <x:c r="G14" s="2"/>
      <x:c r="H14" s="2"/>
    </x:row>
    <x:row r="15" ht="21" customHeight="1">
      <x:c r="C15" s="2" t="str">
        <x:v>Gross contribution before acquisition</x:v>
      </x:c>
      <x:c r="D15" s="30" t="n">
        <x:f>'Forecast'!D43</x:f>
        <x:v>19961.575200000003</x:v>
      </x:c>
      <x:c r="E15" s="30" t="n">
        <x:f>'Forecast'!E43</x:f>
        <x:v>74741.09642999998</x:v>
      </x:c>
      <x:c r="F15" s="30" t="n">
        <x:f>'Forecast'!F43</x:f>
        <x:v>210789.29718</x:v>
      </x:c>
      <x:c r="G15" s="2"/>
      <x:c r="H15" s="2"/>
    </x:row>
    <x:row r="16" ht="28" customHeight="1">
      <x:c r="C16" s="34" t="str">
        <x:v>Contribution after acquisition</x:v>
      </x:c>
      <x:c r="D16" s="37" t="n">
        <x:f>'Forecast'!D47</x:f>
        <x:v>14345.575200000003</x:v>
      </x:c>
      <x:c r="E16" s="37" t="n">
        <x:f>'Forecast'!E47</x:f>
        <x:v>54743.096429999976</x:v>
      </x:c>
      <x:c r="F16" s="37" t="n">
        <x:f>'Forecast'!F47</x:f>
        <x:v>153963.29718</x:v>
      </x:c>
      <x:c r="G16" s="2"/>
      <x:c r="H16" s="2"/>
    </x:row>
    <x:row r="17" ht="21" customHeight="1">
      <x:c r="C17" s="2" t="str">
        <x:v>Fixed operating costs</x:v>
      </x:c>
      <x:c r="D17" s="30" t="n">
        <x:f>'Forecast'!D57</x:f>
        <x:v>37200</x:v>
      </x:c>
      <x:c r="E17" s="30" t="n">
        <x:f>'Forecast'!E57</x:f>
        <x:v>78800</x:v>
      </x:c>
      <x:c r="F17" s="30" t="n">
        <x:f>'Forecast'!F57</x:f>
        <x:v>133200</x:v>
      </x:c>
      <x:c r="G17" s="2"/>
      <x:c r="H17" s="2"/>
    </x:row>
    <x:row r="18" ht="28" customHeight="1">
      <x:c r="C18" s="34" t="str">
        <x:v>Operating result before tax / D&amp;A</x:v>
      </x:c>
      <x:c r="D18" s="37" t="n">
        <x:f>'Forecast'!D58</x:f>
        <x:v>-22854.424799999997</x:v>
      </x:c>
      <x:c r="E18" s="37" t="n">
        <x:f>'Forecast'!E58</x:f>
        <x:v>-24056.903570000024</x:v>
      </x:c>
      <x:c r="F18" s="37" t="n">
        <x:f>'Forecast'!F58</x:f>
        <x:v>20763.297179999994</x:v>
      </x:c>
      <x:c r="G18" s="2"/>
      <x:c r="H18" s="2"/>
    </x:row>
    <x:row r="19" ht="21" customHeight="1">
      <x:c r="C19" s="2" t="str">
        <x:v>Result including founder replacement</x:v>
      </x:c>
      <x:c r="D19" s="30" t="n">
        <x:f>'Forecast'!D61</x:f>
        <x:v>-70854.4248</x:v>
      </x:c>
      <x:c r="E19" s="30" t="n">
        <x:f>'Forecast'!E61</x:f>
        <x:v>-54056.903570000024</x:v>
      </x:c>
      <x:c r="F19" s="30" t="n">
        <x:f>'Forecast'!F61</x:f>
        <x:v>20763.297179999994</x:v>
      </x:c>
      <x:c r="G19" s="2"/>
      <x:c r="H19" s="2"/>
    </x:row>
    <x:row r="20" ht="28" customHeight="1">
      <x:c r="C20" s="34" t="str">
        <x:v>Annual-trough funding plus reserve</x:v>
      </x:c>
      <x:c r="D20" s="37" t="n">
        <x:f>'Forecast'!D64</x:f>
        <x:v>67854.4248</x:v>
      </x:c>
      <x:c r="E20" s="37" t="n">
        <x:f>'Forecast'!E64</x:f>
        <x:v>91911.32837000002</x:v>
      </x:c>
      <x:c r="F20" s="37" t="n">
        <x:f>'Forecast'!F64</x:f>
        <x:v>91911.32837000002</x:v>
      </x:c>
      <x:c r="G20" s="2"/>
      <x:c r="H20" s="2"/>
    </x:row>
    <x:row r="21" ht="21" customHeight="1">
      <x:c r="C21" s="2"/>
      <x:c r="D21" s="3"/>
      <x:c r="E21" s="3"/>
      <x:c r="F21" s="3"/>
      <x:c r="G21" s="2"/>
      <x:c r="H21" s="2"/>
    </x:row>
    <x:row r="22" ht="21" customHeight="1">
      <x:c r="C22" s="2" t="str">
        <x:v>Contribution / paid window</x:v>
      </x:c>
      <x:c r="D22" s="31" t="n">
        <x:f>'Forecast'!D48</x:f>
        <x:v>19.924410000000005</x:v>
      </x:c>
      <x:c r="E22" s="31" t="n">
        <x:f>'Forecast'!E48</x:f>
        <x:v>21.267714230769222</x:v>
      </x:c>
      <x:c r="F22" s="31" t="n">
        <x:f>'Forecast'!F48</x:f>
        <x:v>22.216926</x:v>
      </x:c>
      <x:c r="G22" s="2"/>
      <x:c r="H22" s="2"/>
    </x:row>
    <x:row r="23" ht="21" customHeight="1">
      <x:c r="C23" s="2" t="str">
        <x:v>Break-even paid windows</x:v>
      </x:c>
      <x:c r="D23" s="3" t="n">
        <x:f>'Forecast'!D65</x:f>
        <x:v>1868</x:v>
      </x:c>
      <x:c r="E23" s="3" t="n">
        <x:f>'Forecast'!E65</x:f>
        <x:v>3706</x:v>
      </x:c>
      <x:c r="F23" s="3" t="n">
        <x:f>'Forecast'!F65</x:f>
        <x:v>5996</x:v>
      </x:c>
      <x:c r="G23" s="2"/>
      <x:c r="H23" s="2"/>
    </x:row>
    <x:row r="24" ht="21" customHeight="1">
      <x:c r="C24" s="2" t="str">
        <x:v>Provider capacity utilization</x:v>
      </x:c>
      <x:c r="D24" s="24" t="n">
        <x:f>'Forecast'!D28</x:f>
        <x:v>0.7596153846153846</x:v>
      </x:c>
      <x:c r="E24" s="24" t="n">
        <x:f>'Forecast'!E28</x:f>
        <x:v>0.8348214285714286</x:v>
      </x:c>
      <x:c r="F24" s="24" t="n">
        <x:f>'Forecast'!F28</x:f>
        <x:v>0.8792067307692307</x:v>
      </x:c>
      <x:c r="G24" s="2"/>
      <x:c r="H24" s="2"/>
    </x:row>
    <x:row r="25" ht="21" customHeight="1">
      <x:c r="C25" s="2" t="str">
        <x:v>Unserved paid-window demand</x:v>
      </x:c>
      <x:c r="D25" s="3" t="n">
        <x:f>'Forecast'!D21</x:f>
        <x:v>0</x:v>
      </x:c>
      <x:c r="E25" s="3" t="n">
        <x:f>'Forecast'!E21</x:f>
        <x:v>0</x:v>
      </x:c>
      <x:c r="F25" s="3" t="n">
        <x:f>'Forecast'!F21</x:f>
        <x:v>0</x:v>
      </x:c>
      <x:c r="G25" s="2"/>
      <x:c r="H25" s="2"/>
    </x:row>
    <x:row r="26" ht="21" customHeight="1">
      <x:c r="C26" s="2"/>
      <x:c r="D26" s="3"/>
      <x:c r="E26" s="3"/>
      <x:c r="F26" s="3"/>
      <x:c r="G26" s="2"/>
      <x:c r="H26" s="2"/>
    </x:row>
    <x:row r="27" ht="21" customHeight="1">
      <x:c r="C27" s="2"/>
      <x:c r="D27" s="3"/>
      <x:c r="E27" s="3"/>
      <x:c r="F27" s="3"/>
      <x:c r="G27" s="2"/>
      <x:c r="H27" s="2"/>
    </x:row>
    <x:row r="28" ht="21" customHeight="1">
      <x:c r="C28" s="2" t="str">
        <x:v>Commercial priorities</x:v>
      </x:c>
      <x:c r="D28" s="3"/>
      <x:c r="E28" s="3"/>
      <x:c r="F28" s="3"/>
      <x:c r="G28" s="2"/>
      <x:c r="H28" s="2"/>
    </x:row>
    <x:row r="29" ht="21" customHeight="1">
      <x:c r="C29" s="2" t="str">
        <x:v>Validate Rodney-led referrals and provider payouts before scaling.</x:v>
      </x:c>
      <x:c r="D29" s="3"/>
      <x:c r="E29" s="3"/>
      <x:c r="F29" s="3"/>
      <x:c r="G29" s="2"/>
      <x:c r="H29" s="2"/>
    </x:row>
    <x:row r="30" ht="21" customHeight="1">
      <x:c r="C30" s="2" t="str">
        <x:v>Base case requires founder underpayment in Years 1–2.</x:v>
      </x:c>
      <x:c r="D30" s="3"/>
      <x:c r="E30" s="3"/>
      <x:c r="F30" s="3"/>
      <x:c r="G30" s="2"/>
      <x:c r="H30" s="2"/>
    </x:row>
    <x:row r="31" ht="21" customHeight="1">
      <x:c r="C31" s="2" t="str">
        <x:v>Change Assumptions!D3 to test demand with capacity held fixed.</x:v>
      </x:c>
      <x:c r="D31" s="3"/>
      <x:c r="E31" s="3"/>
      <x:c r="F31" s="3"/>
      <x:c r="G31" s="2"/>
      <x:c r="H31" s="2"/>
    </x:row>
    <x:row r="32" ht="21" customHeight="1">
      <x:c r="C32" s="2" t="str">
        <x:v>Revenue assumes SecondLook acts as principal; agent reporting would differ.</x:v>
      </x:c>
      <x:c r="D32" s="3"/>
      <x:c r="E32" s="3"/>
      <x:c r="F32" s="3"/>
      <x:c r="G32" s="2"/>
      <x:c r="H32" s="2"/>
    </x:row>
    <x:row r="33" ht="21" customHeight="1">
      <x:c r="C33" s="2" t="str">
        <x:v>No financing, repair, data-sale, subscription or certification revenue included.</x:v>
      </x:c>
      <x:c r="D33" s="3"/>
      <x:c r="E33" s="3"/>
      <x:c r="F33" s="3"/>
      <x:c r="G33" s="2"/>
      <x:c r="H33" s="2"/>
    </x:row>
    <x:row r="34" ht="21" customHeight="1">
      <x:c r="C34" s="2"/>
      <x:c r="D34" s="3"/>
      <x:c r="E34" s="3"/>
      <x:c r="F34" s="3"/>
      <x:c r="G34" s="2"/>
      <x:c r="H34" s="2"/>
    </x:row>
    <x:row r="35" ht="21" customHeight="1">
      <x:c r="C35" s="2"/>
      <x:c r="D35" s="3"/>
      <x:c r="E35" s="3"/>
      <x:c r="F35" s="3"/>
      <x:c r="G35" s="2"/>
      <x:c r="H35" s="2"/>
    </x:row>
    <x:row r="36" ht="21" customHeight="1">
      <x:c r="C36" s="2"/>
      <x:c r="D36" s="3"/>
      <x:c r="E36" s="3"/>
      <x:c r="F36" s="3"/>
      <x:c r="G36" s="2"/>
      <x:c r="H36" s="2" t="str">
        <x:v>Year</x:v>
      </x:c>
      <x:c r="I36" t="str">
        <x:v>Net revenue</x:v>
      </x:c>
      <x:c r="J36" t="str">
        <x:v>Operating result</x:v>
      </x:c>
    </x:row>
    <x:row r="37" ht="21" customHeight="1">
      <x:c r="C37" s="2"/>
      <x:c r="D37" s="3"/>
      <x:c r="E37" s="3"/>
      <x:c r="F37" s="3"/>
      <x:c r="G37" s="2"/>
      <x:c r="H37" s="2" t="str">
        <x:f>D10</x:f>
        <x:v>Year 1</x:v>
      </x:c>
      <x:c r="I37" s="44" t="n">
        <x:f>D11</x:f>
        <x:v>46792.8</x:v>
      </x:c>
      <x:c r="J37" s="44" t="n">
        <x:f>D18</x:f>
        <x:v>-22854.424799999997</x:v>
      </x:c>
    </x:row>
    <x:row r="38" ht="21" customHeight="1">
      <x:c r="C38" s="2"/>
      <x:c r="D38" s="3"/>
      <x:c r="E38" s="3"/>
      <x:c r="F38" s="3"/>
      <x:c r="G38" s="2"/>
      <x:c r="H38" s="2" t="str">
        <x:f>E10</x:f>
        <x:v>Year 2</x:v>
      </x:c>
      <x:c r="I38" s="44" t="n">
        <x:f>E11</x:f>
        <x:v>178519.77</x:v>
      </x:c>
      <x:c r="J38" s="44" t="n">
        <x:f>E18</x:f>
        <x:v>-24056.903570000024</x:v>
      </x:c>
    </x:row>
    <x:row r="39" ht="21" customHeight="1">
      <x:c r="C39" s="2"/>
      <x:c r="D39" s="3"/>
      <x:c r="E39" s="3"/>
      <x:c r="F39" s="3"/>
      <x:c r="G39" s="2"/>
      <x:c r="H39" s="2" t="str">
        <x:f>F10</x:f>
        <x:v>Year 3</x:v>
      </x:c>
      <x:c r="I39" s="44" t="n">
        <x:f>F11</x:f>
        <x:v>512224.02</x:v>
      </x:c>
      <x:c r="J39" s="44" t="n">
        <x:f>F18</x:f>
        <x:v>20763.297179999994</x:v>
      </x:c>
    </x:row>
    <x:row r="40" ht="21" customHeight="1">
      <x:c r="C40" s="2"/>
      <x:c r="D40" s="3"/>
      <x:c r="E40" s="3"/>
      <x:c r="F40" s="3"/>
      <x:c r="G40" s="2"/>
      <x:c r="H40" s="2"/>
    </x:row>
    <x:row r="41" ht="21" customHeight="1">
      <x:c r="C41" s="2"/>
      <x:c r="D41" s="3"/>
      <x:c r="E41" s="3"/>
      <x:c r="F41" s="3"/>
      <x:c r="G41" s="2"/>
      <x:c r="H41" s="2"/>
    </x:row>
    <x:row r="42" ht="21" customHeight="1">
      <x:c r="C42" s="2"/>
      <x:c r="D42" s="3"/>
      <x:c r="E42" s="3"/>
      <x:c r="F42" s="3"/>
      <x:c r="G42" s="2"/>
      <x:c r="H42" s="2"/>
    </x:row>
    <x:row r="43" ht="21" customHeight="1">
      <x:c r="C43" s="2"/>
      <x:c r="D43" s="3"/>
      <x:c r="E43" s="3"/>
      <x:c r="F43" s="3"/>
      <x:c r="G43" s="2"/>
      <x:c r="H43" s="2"/>
    </x:row>
    <x:row r="44" ht="21" customHeight="1">
      <x:c r="C44" s="2"/>
      <x:c r="D44" s="3"/>
      <x:c r="E44" s="3"/>
      <x:c r="F44" s="3"/>
      <x:c r="G44" s="2"/>
      <x:c r="H44" s="2"/>
    </x:row>
    <x:row r="45" ht="21" customHeight="1">
      <x:c r="C45" s="2"/>
      <x:c r="D45" s="3"/>
      <x:c r="E45" s="3"/>
      <x:c r="F45" s="3"/>
      <x:c r="G45" s="2"/>
      <x:c r="H45" s="2"/>
    </x:row>
    <x:row r="46" ht="21" customHeight="1">
      <x:c r="C46" s="2"/>
      <x:c r="D46" s="3"/>
      <x:c r="E46" s="3"/>
      <x:c r="F46" s="3"/>
      <x:c r="G46" s="2"/>
      <x:c r="H46" s="2"/>
    </x:row>
    <x:row r="47" ht="21" customHeight="1">
      <x:c r="C47" s="2"/>
      <x:c r="D47" s="3"/>
      <x:c r="E47" s="3"/>
      <x:c r="F47" s="3"/>
      <x:c r="G47" s="2"/>
      <x:c r="H47" s="2"/>
    </x:row>
    <x:row r="48" ht="21" customHeight="1">
      <x:c r="C48" s="2"/>
      <x:c r="D48" s="3"/>
      <x:c r="E48" s="3"/>
      <x:c r="F48" s="3"/>
      <x:c r="G48" s="2"/>
      <x:c r="H48" s="2"/>
    </x:row>
    <x:row r="49" ht="21" customHeight="1">
      <x:c r="C49" s="2"/>
      <x:c r="D49" s="3"/>
      <x:c r="E49" s="3"/>
      <x:c r="F49" s="3"/>
      <x:c r="G49" s="2"/>
      <x:c r="H49" s="2"/>
    </x:row>
    <x:row r="50" ht="21" customHeight="1">
      <x:c r="C50" s="2"/>
      <x:c r="D50" s="3"/>
      <x:c r="E50" s="3"/>
      <x:c r="F50" s="3"/>
      <x:c r="G50" s="2"/>
      <x:c r="H50" s="2"/>
    </x:row>
    <x:row r="51" ht="21" customHeight="1">
      <x:c r="C51" s="2"/>
      <x:c r="D51" s="3"/>
      <x:c r="E51" s="3"/>
      <x:c r="F51" s="3"/>
      <x:c r="G51" s="2"/>
      <x:c r="H51" s="2"/>
    </x:row>
    <x:row r="52" ht="21" customHeight="1">
      <x:c r="C52" s="2"/>
      <x:c r="D52" s="3"/>
      <x:c r="E52" s="3"/>
      <x:c r="F52" s="3"/>
      <x:c r="G52" s="2"/>
      <x:c r="H52" s="2"/>
    </x:row>
    <x:row r="53" ht="21" customHeight="1">
      <x:c r="C53" s="2"/>
      <x:c r="D53" s="3"/>
      <x:c r="E53" s="3"/>
      <x:c r="F53" s="3"/>
      <x:c r="G53" s="2"/>
      <x:c r="H53" s="2"/>
    </x:row>
    <x:row r="54" ht="21" customHeight="1">
      <x:c r="C54" s="2"/>
      <x:c r="D54" s="3"/>
      <x:c r="E54" s="3"/>
      <x:c r="F54" s="3"/>
      <x:c r="G54" s="2"/>
      <x:c r="H54" s="2"/>
    </x:row>
    <x:row r="55" ht="21" customHeight="1">
      <x:c r="C55" s="2"/>
      <x:c r="D55" s="3"/>
      <x:c r="E55" s="3"/>
      <x:c r="F55" s="3"/>
      <x:c r="G55" s="2"/>
      <x:c r="H55" s="2"/>
    </x:row>
    <x:row r="56" ht="21" customHeight="1">
      <x:c r="C56" s="2"/>
      <x:c r="D56" s="3"/>
      <x:c r="E56" s="3"/>
      <x:c r="F56" s="3"/>
      <x:c r="G56" s="2"/>
      <x:c r="H56" s="2"/>
    </x:row>
    <x:row r="57" ht="21" customHeight="1">
      <x:c r="C57" s="2"/>
      <x:c r="D57" s="3"/>
      <x:c r="E57" s="3"/>
      <x:c r="F57" s="3"/>
      <x:c r="G57" s="2"/>
      <x:c r="H57" s="2"/>
    </x:row>
    <x:row r="58" ht="21" customHeight="1">
      <x:c r="C58" s="2"/>
      <x:c r="D58" s="3"/>
      <x:c r="E58" s="3"/>
      <x:c r="F58" s="3"/>
      <x:c r="G58" s="2"/>
      <x:c r="H58" s="2"/>
    </x:row>
    <x:row r="59" ht="21" customHeight="1">
      <x:c r="C59" s="2"/>
      <x:c r="D59" s="3"/>
      <x:c r="E59" s="3"/>
      <x:c r="F59" s="3"/>
      <x:c r="G59" s="2"/>
      <x:c r="H59" s="2"/>
    </x:row>
    <x:row r="60" ht="21" customHeight="1">
      <x:c r="C60" s="2"/>
      <x:c r="D60" s="3"/>
      <x:c r="E60" s="3"/>
      <x:c r="F60" s="3"/>
      <x:c r="G60" s="2"/>
      <x:c r="H60" s="2"/>
    </x:row>
    <x:row r="61" ht="21" customHeight="1">
      <x:c r="C61" s="2"/>
      <x:c r="D61" s="3"/>
      <x:c r="E61" s="3"/>
      <x:c r="F61" s="3"/>
      <x:c r="G61" s="2"/>
      <x:c r="H61" s="2"/>
    </x:row>
    <x:row r="62" ht="21" customHeight="1">
      <x:c r="C62" s="2"/>
      <x:c r="D62" s="3"/>
      <x:c r="E62" s="3"/>
      <x:c r="F62" s="3"/>
      <x:c r="G62" s="2"/>
      <x:c r="H62" s="2"/>
    </x:row>
    <x:row r="63" ht="21" customHeight="1">
      <x:c r="C63" s="2"/>
      <x:c r="D63" s="3"/>
      <x:c r="E63" s="3"/>
      <x:c r="F63" s="3"/>
      <x:c r="G63" s="2"/>
      <x:c r="H63" s="2"/>
    </x:row>
    <x:row r="64" ht="21" customHeight="1">
      <x:c r="C64" s="2"/>
      <x:c r="D64" s="3"/>
      <x:c r="E64" s="3"/>
      <x:c r="F64" s="3"/>
      <x:c r="G64" s="2"/>
      <x:c r="H64" s="2"/>
    </x:row>
    <x:row r="65" ht="21" customHeight="1">
      <x:c r="C65" s="2"/>
      <x:c r="D65" s="3"/>
      <x:c r="E65" s="3"/>
      <x:c r="F65" s="3"/>
      <x:c r="G65" s="2"/>
      <x:c r="H65" s="2"/>
    </x:row>
    <x:row r="66" ht="21" customHeight="1">
      <x:c r="C66" s="2"/>
      <x:c r="D66" s="3"/>
      <x:c r="E66" s="3"/>
      <x:c r="F66" s="3"/>
      <x:c r="G66" s="2"/>
      <x:c r="H66" s="2"/>
    </x:row>
    <x:row r="67" ht="21" customHeight="1">
      <x:c r="C67" s="2"/>
      <x:c r="D67" s="3"/>
      <x:c r="E67" s="3"/>
      <x:c r="F67" s="3"/>
      <x:c r="G67" s="2"/>
      <x:c r="H67" s="2"/>
    </x:row>
    <x:row r="68" ht="21" customHeight="1">
      <x:c r="C68" s="2"/>
      <x:c r="D68" s="3"/>
      <x:c r="E68" s="3"/>
      <x:c r="F68" s="3"/>
      <x:c r="G68" s="2"/>
      <x:c r="H68" s="2"/>
    </x:row>
    <x:row r="69" ht="21" customHeight="1">
      <x:c r="C69" s="2"/>
      <x:c r="D69" s="3"/>
      <x:c r="E69" s="3"/>
      <x:c r="F69" s="3"/>
      <x:c r="G69" s="2"/>
      <x:c r="H69" s="2"/>
    </x:row>
    <x:row r="70" ht="21" customHeight="1">
      <x:c r="C70" s="2"/>
      <x:c r="D70" s="3"/>
      <x:c r="E70" s="3"/>
      <x:c r="F70" s="3"/>
      <x:c r="G70" s="2"/>
      <x:c r="H70" s="2"/>
    </x:row>
    <x:row r="71" ht="21" customHeight="1">
      <x:c r="C71" s="2"/>
      <x:c r="D71" s="3"/>
      <x:c r="E71" s="3"/>
      <x:c r="F71" s="3"/>
      <x:c r="G71" s="2"/>
      <x:c r="H71" s="2"/>
    </x:row>
    <x:row r="72" ht="21" customHeight="1">
      <x:c r="C72" s="2"/>
      <x:c r="D72" s="3"/>
      <x:c r="E72" s="3"/>
      <x:c r="F72" s="3"/>
      <x:c r="G72" s="2"/>
      <x:c r="H72" s="2"/>
    </x:row>
    <x:row r="73" ht="21" customHeight="1">
      <x:c r="C73" s="2"/>
      <x:c r="D73" s="3"/>
      <x:c r="E73" s="3"/>
      <x:c r="F73" s="3"/>
      <x:c r="G73" s="2"/>
      <x:c r="H73" s="2"/>
    </x:row>
    <x:row r="74" ht="21" customHeight="1">
      <x:c r="C74" s="2"/>
      <x:c r="D74" s="3"/>
      <x:c r="E74" s="3"/>
      <x:c r="F74" s="3"/>
      <x:c r="G74" s="2"/>
      <x:c r="H74" s="2"/>
    </x:row>
    <x:row r="75" ht="21" customHeight="1">
      <x:c r="C75" s="2"/>
      <x:c r="D75" s="3"/>
      <x:c r="E75" s="3"/>
      <x:c r="F75" s="3"/>
      <x:c r="G75" s="2"/>
      <x:c r="H75" s="2"/>
    </x:row>
    <x:row r="76" ht="21" customHeight="1">
      <x:c r="C76" s="2"/>
      <x:c r="D76" s="3"/>
      <x:c r="E76" s="3"/>
      <x:c r="F76" s="3"/>
      <x:c r="G76" s="2"/>
      <x:c r="H76" s="2"/>
    </x:row>
    <x:row r="77" ht="21" customHeight="1">
      <x:c r="C77" s="2"/>
      <x:c r="D77" s="3"/>
      <x:c r="E77" s="3"/>
      <x:c r="F77" s="3"/>
      <x:c r="G77" s="2"/>
      <x:c r="H77" s="2"/>
    </x:row>
    <x:row r="78" ht="21" customHeight="1">
      <x:c r="C78" s="2"/>
      <x:c r="D78" s="3"/>
      <x:c r="E78" s="3"/>
      <x:c r="F78" s="3"/>
      <x:c r="G78" s="2"/>
      <x:c r="H78" s="2"/>
    </x:row>
    <x:row r="79" ht="21" customHeight="1">
      <x:c r="C79" s="2"/>
      <x:c r="D79" s="3"/>
      <x:c r="E79" s="3"/>
      <x:c r="F79" s="3"/>
      <x:c r="G79" s="2"/>
      <x:c r="H79" s="2"/>
    </x:row>
    <x:row r="80" ht="21" customHeight="1">
      <x:c r="C80" s="2"/>
      <x:c r="D80" s="3"/>
      <x:c r="E80" s="3"/>
      <x:c r="F80" s="3"/>
      <x:c r="G80" s="2"/>
      <x:c r="H80" s="2"/>
    </x:row>
    <x:row r="81" ht="21" customHeight="1">
      <x:c r="C81" s="2"/>
      <x:c r="D81" s="3"/>
      <x:c r="E81" s="3"/>
      <x:c r="F81" s="3"/>
      <x:c r="G81" s="2"/>
      <x:c r="H81" s="2"/>
    </x:row>
    <x:row r="82" ht="21" customHeight="1">
      <x:c r="C82" s="2"/>
      <x:c r="D82" s="3"/>
      <x:c r="E82" s="3"/>
      <x:c r="F82" s="3"/>
      <x:c r="G82" s="2"/>
      <x:c r="H82" s="2"/>
    </x:row>
    <x:row r="83" ht="21" customHeight="1">
      <x:c r="C83" s="2"/>
      <x:c r="D83" s="3"/>
      <x:c r="E83" s="3"/>
      <x:c r="F83" s="3"/>
      <x:c r="G83" s="2"/>
      <x:c r="H83" s="2"/>
    </x:row>
    <x:row r="84" ht="21" customHeight="1">
      <x:c r="C84" s="2"/>
      <x:c r="D84" s="3"/>
      <x:c r="E84" s="3"/>
      <x:c r="F84" s="3"/>
      <x:c r="G84" s="2"/>
      <x:c r="H84" s="2"/>
    </x:row>
    <x:row r="85" ht="21" customHeight="1">
      <x:c r="C85" s="2"/>
      <x:c r="D85" s="3"/>
      <x:c r="E85" s="3"/>
      <x:c r="F85" s="3"/>
      <x:c r="G85" s="2"/>
      <x:c r="H85" s="2"/>
    </x:row>
    <x:row r="86" ht="21" customHeight="1">
      <x:c r="C86" s="2"/>
      <x:c r="D86" s="3"/>
      <x:c r="E86" s="3"/>
      <x:c r="F86" s="3"/>
      <x:c r="G86" s="2"/>
      <x:c r="H86" s="2"/>
    </x:row>
    <x:row r="87" ht="21" customHeight="1">
      <x:c r="C87" s="2"/>
      <x:c r="D87" s="3"/>
      <x:c r="E87" s="3"/>
      <x:c r="F87" s="3"/>
      <x:c r="G87" s="2"/>
      <x:c r="H87" s="2"/>
    </x:row>
    <x:row r="88" ht="21" customHeight="1">
      <x:c r="C88" s="2"/>
      <x:c r="D88" s="3"/>
      <x:c r="E88" s="3"/>
      <x:c r="F88" s="3"/>
      <x:c r="G88" s="2"/>
      <x:c r="H88" s="2"/>
    </x:row>
    <x:row r="89" ht="21" customHeight="1">
      <x:c r="C89" s="2"/>
      <x:c r="D89" s="3"/>
      <x:c r="E89" s="3"/>
      <x:c r="F89" s="3"/>
      <x:c r="G89" s="2"/>
      <x:c r="H89" s="2"/>
    </x:row>
    <x:row r="90" ht="21" customHeight="1">
      <x:c r="C90" s="2"/>
      <x:c r="D90" s="3"/>
      <x:c r="E90" s="3"/>
      <x:c r="F90" s="3"/>
      <x:c r="G90" s="2"/>
      <x:c r="H90" s="2"/>
    </x:row>
    <x:row r="91" ht="21" customHeight="1">
      <x:c r="C91" s="2"/>
      <x:c r="D91" s="3"/>
      <x:c r="E91" s="3"/>
      <x:c r="F91" s="3"/>
      <x:c r="G91" s="2"/>
      <x:c r="H91" s="2"/>
    </x:row>
    <x:row r="92" ht="21" customHeight="1">
      <x:c r="C92" s="2"/>
      <x:c r="D92" s="3"/>
      <x:c r="E92" s="3"/>
      <x:c r="F92" s="3"/>
      <x:c r="G92" s="2"/>
      <x:c r="H92" s="2"/>
    </x:row>
    <x:row r="93" ht="21" customHeight="1">
      <x:c r="C93" s="2"/>
      <x:c r="D93" s="3"/>
      <x:c r="E93" s="3"/>
      <x:c r="F93" s="3"/>
      <x:c r="G93" s="2"/>
      <x:c r="H93" s="2"/>
    </x:row>
    <x:row r="94" ht="21" customHeight="1">
      <x:c r="C94" s="2"/>
      <x:c r="D94" s="3"/>
      <x:c r="E94" s="3"/>
      <x:c r="F94" s="3"/>
      <x:c r="G94" s="2"/>
      <x:c r="H94" s="2"/>
    </x:row>
    <x:row r="95" ht="21" customHeight="1">
      <x:c r="C95" s="2"/>
      <x:c r="D95" s="3"/>
      <x:c r="E95" s="3"/>
      <x:c r="F95" s="3"/>
      <x:c r="G95" s="2"/>
      <x:c r="H95" s="2"/>
    </x:row>
    <x:row r="96" ht="21" customHeight="1">
      <x:c r="C96" s="2"/>
      <x:c r="D96" s="3"/>
      <x:c r="E96" s="3"/>
      <x:c r="F96" s="3"/>
      <x:c r="G96" s="2"/>
      <x:c r="H96" s="2"/>
    </x:row>
    <x:row r="97" ht="21" customHeight="1">
      <x:c r="C97" s="2"/>
      <x:c r="D97" s="3"/>
      <x:c r="E97" s="3"/>
      <x:c r="F97" s="3"/>
      <x:c r="G97" s="2"/>
      <x:c r="H97" s="2"/>
    </x:row>
    <x:row r="98" ht="21" customHeight="1">
      <x:c r="C98" s="2"/>
      <x:c r="D98" s="3"/>
      <x:c r="E98" s="3"/>
      <x:c r="F98" s="3"/>
      <x:c r="G98" s="2"/>
      <x:c r="H98" s="2"/>
    </x:row>
    <x:row r="99" ht="21" customHeight="1">
      <x:c r="C99" s="2"/>
      <x:c r="D99" s="3"/>
      <x:c r="E99" s="3"/>
      <x:c r="F99" s="3"/>
      <x:c r="G99" s="2"/>
      <x:c r="H99" s="2"/>
    </x:row>
    <x:row r="100" ht="21" customHeight="1">
      <x:c r="C100" s="2"/>
      <x:c r="D100" s="3"/>
      <x:c r="E100" s="3"/>
      <x:c r="F100" s="3"/>
      <x:c r="G100" s="2"/>
      <x:c r="H100" s="2"/>
    </x:row>
    <x:row r="101" ht="21" customHeight="1">
      <x:c r="C101" s="2"/>
      <x:c r="D101" s="3"/>
      <x:c r="E101" s="3"/>
      <x:c r="F101" s="3"/>
      <x:c r="G101" s="2"/>
      <x:c r="H101" s="2"/>
    </x:row>
    <x:row r="102" ht="21" customHeight="1">
      <x:c r="C102" s="2"/>
      <x:c r="D102" s="3"/>
      <x:c r="E102" s="3"/>
      <x:c r="F102" s="3"/>
      <x:c r="G102" s="2"/>
      <x:c r="H102" s="2"/>
    </x:row>
    <x:row r="103" ht="21" customHeight="1">
      <x:c r="C103" s="2"/>
      <x:c r="D103" s="3"/>
      <x:c r="E103" s="3"/>
      <x:c r="F103" s="3"/>
      <x:c r="G103" s="2"/>
      <x:c r="H103" s="2"/>
    </x:row>
    <x:row r="104" ht="21" customHeight="1">
      <x:c r="C104" s="2"/>
      <x:c r="D104" s="3"/>
      <x:c r="E104" s="3"/>
      <x:c r="F104" s="3"/>
      <x:c r="G104" s="2"/>
      <x:c r="H104" s="2"/>
    </x:row>
    <x:row r="105" ht="21" customHeight="1">
      <x:c r="C105" s="2"/>
      <x:c r="D105" s="3"/>
      <x:c r="E105" s="3"/>
      <x:c r="F105" s="3"/>
      <x:c r="G105" s="2"/>
      <x:c r="H105" s="2"/>
    </x:row>
  </x:sheetData>
  <x:pageMargins left="0.7" right="0.7" top="0.75" bottom="0.75" header="0.3" footer="0.3"/>
  <x:drawing xmlns:r="http://schemas.openxmlformats.org/officeDocument/2006/relationships" r:id="Rc85ad7d30d7f4ba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76" hidden="0" customWidth="1"/>
  </x:cols>
  <x:sheetData>
    <x:row r="1" ht="21" customHeight="1">
      <x:c r="C1" s="4" t="str">
        <x:v>SecondLook assumptions</x:v>
      </x:c>
      <x:c r="D1" s="3"/>
      <x:c r="E1" s="3"/>
      <x:c r="F1" s="3"/>
      <x:c r="G1" s="2"/>
      <x:c r="H1" s="2"/>
    </x:row>
    <x:row r="2" ht="21" customHeight="1">
      <x:c r="C2" s="2" t="str">
        <x:v>CAD excluding HST • forecast as of 28 Oct 2026</x:v>
      </x:c>
      <x:c r="D2" s="3"/>
      <x:c r="E2" s="3"/>
      <x:c r="F2" s="3"/>
      <x:c r="G2" s="2"/>
      <x:c r="H2" s="2"/>
    </x:row>
    <x:row r="3" ht="21" customHeight="1">
      <x:c r="C3" s="2" t="str">
        <x:v>Demand case: 1 Downside / 2 Base / 3 Upside</x:v>
      </x:c>
      <x:c r="D3" s="12" t="n">
        <x:v>2</x:v>
      </x:c>
      <x:c r="E3" s="3"/>
      <x:c r="F3" s="3"/>
      <x:c r="G3" s="2"/>
      <x:c r="H3" s="2"/>
    </x:row>
    <x:row r="4" ht="21" customHeight="1">
      <x:c r="C4" s="2" t="str">
        <x:v>Selected case</x:v>
      </x:c>
      <x:c r="D4" s="3" t="str">
        <x:f>CHOOSE(D3,"Downside","Base","Upside")</x:f>
        <x:v>Base</x:v>
      </x:c>
      <x:c r="E4" s="3"/>
      <x:c r="F4" s="3"/>
      <x:c r="G4" s="2"/>
      <x:c r="H4" s="2"/>
    </x:row>
    <x:row r="5" ht="21" customHeight="1">
      <x:c r="C5" s="2" t="str">
        <x:v>Active demand multiplier</x:v>
      </x:c>
      <x:c r="D5" s="13" t="n">
        <x:f>CHOOSE($D$3,D6,D7,D8)</x:f>
        <x:v>1</x:v>
      </x:c>
      <x:c r="E5" s="13" t="n">
        <x:f>CHOOSE($D$3,E6,E7,E8)</x:f>
        <x:v>1</x:v>
      </x:c>
      <x:c r="F5" s="13" t="n">
        <x:f>CHOOSE($D$3,F6,F7,F8)</x:f>
        <x:v>1</x:v>
      </x:c>
      <x:c r="G5" s="2"/>
      <x:c r="H5" s="2"/>
    </x:row>
    <x:row r="6" ht="21" customHeight="1">
      <x:c r="C6" s="2" t="str">
        <x:v>Downside demand multiplier</x:v>
      </x:c>
      <x:c r="D6" s="14" t="n">
        <x:v>0.5</x:v>
      </x:c>
      <x:c r="E6" s="14" t="n">
        <x:v>0.5</x:v>
      </x:c>
      <x:c r="F6" s="14" t="n">
        <x:v>0.5</x:v>
      </x:c>
      <x:c r="G6" s="2"/>
      <x:c r="H6" s="2"/>
    </x:row>
    <x:row r="7" ht="21" customHeight="1">
      <x:c r="C7" s="2" t="str">
        <x:v>Base demand multiplier</x:v>
      </x:c>
      <x:c r="D7" s="14" t="n">
        <x:v>1</x:v>
      </x:c>
      <x:c r="E7" s="14" t="n">
        <x:v>1</x:v>
      </x:c>
      <x:c r="F7" s="14" t="n">
        <x:v>1</x:v>
      </x:c>
      <x:c r="G7" s="2"/>
      <x:c r="H7" s="2"/>
    </x:row>
    <x:row r="8" ht="21" customHeight="1">
      <x:c r="C8" s="2" t="str">
        <x:v>Upside demand multiplier</x:v>
      </x:c>
      <x:c r="D8" s="14" t="n">
        <x:v>1.75</x:v>
      </x:c>
      <x:c r="E8" s="14" t="n">
        <x:v>1.75</x:v>
      </x:c>
      <x:c r="F8" s="14" t="n">
        <x:v>1.75</x:v>
      </x:c>
      <x:c r="G8" s="2"/>
      <x:c r="H8" s="2"/>
    </x:row>
    <x:row r="9" ht="21" customHeight="1">
      <x:c r="C9" s="2"/>
      <x:c r="D9" s="3"/>
      <x:c r="E9" s="3"/>
      <x:c r="F9" s="3"/>
      <x:c r="G9" s="2"/>
      <x:c r="H9" s="2"/>
    </x:row>
    <x:row r="10" ht="21" customHeight="1">
      <x:c r="C10" s="2"/>
      <x:c r="D10" s="7" t="str">
        <x:v>Year 1</x:v>
      </x:c>
      <x:c r="E10" s="7" t="str">
        <x:v>Year 2</x:v>
      </x:c>
      <x:c r="F10" s="7" t="str">
        <x:v>Year 3</x:v>
      </x:c>
      <x:c r="G10" s="2"/>
      <x:c r="H10" s="2"/>
    </x:row>
    <x:row r="11" ht="36" customHeight="1">
      <x:c r="C11" s="2" t="str">
        <x:v>First inspection price</x:v>
      </x:c>
      <x:c r="D11" s="16" t="n">
        <x:v>50</x:v>
      </x:c>
      <x:c r="E11" s="16" t="n">
        <x:v>50</x:v>
      </x:c>
      <x:c r="F11" s="16" t="n">
        <x:v>50</x:v>
      </x:c>
      <x:c r="G11" s="2"/>
      <x:c r="H11" s="10" t="str">
        <x:v>Confirmed product pricing: AGENTS.md and L2-027. CAD before HST.</x:v>
      </x:c>
    </x:row>
    <x:row r="12" ht="36" customHeight="1">
      <x:c r="C12" s="2" t="str">
        <x:v>Additional inspection price</x:v>
      </x:c>
      <x:c r="D12" s="16" t="n">
        <x:v>25</x:v>
      </x:c>
      <x:c r="E12" s="16" t="n">
        <x:v>25</x:v>
      </x:c>
      <x:c r="F12" s="16" t="n">
        <x:v>25</x:v>
      </x:c>
      <x:c r="G12" s="2"/>
      <x:c r="H12" s="10" t="str">
        <x:v>Confirmed product pricing: L2-027; 14-day window from first booking.</x:v>
      </x:c>
    </x:row>
    <x:row r="13" ht="36" customHeight="1">
      <x:c r="C13" s="2" t="str">
        <x:v>Body shop add-on price</x:v>
      </x:c>
      <x:c r="D13" s="16" t="n">
        <x:v>20</x:v>
      </x:c>
      <x:c r="E13" s="16" t="n">
        <x:v>20</x:v>
      </x:c>
      <x:c r="F13" s="16" t="n">
        <x:v>20</x:v>
      </x:c>
      <x:c r="G13" s="2"/>
      <x:c r="H13" s="10" t="str">
        <x:v>Confirmed product pricing: L2-027; body-only revenue excluded.</x:v>
      </x:c>
    </x:row>
    <x:row r="14" ht="36" customHeight="1">
      <x:c r="C14" s="2" t="str">
        <x:v>Average active referral partners</x:v>
      </x:c>
      <x:c r="D14" s="8" t="n">
        <x:v>10</x:v>
      </x:c>
      <x:c r="E14" s="8" t="n">
        <x:v>30</x:v>
      </x:c>
      <x:c r="F14" s="8" t="n">
        <x:v>65</x:v>
      </x:c>
      <x:c r="G14" s="2"/>
      <x:c r="H14" s="10" t="str">
        <x:v>Assumption, not signed partners. Annual average after activation and attrition.</x:v>
      </x:c>
    </x:row>
    <x:row r="15" ht="36" customHeight="1">
      <x:c r="C15" s="2" t="str">
        <x:v>Qualified referrals / partner / month</x:v>
      </x:c>
      <x:c r="D15" s="8" t="n">
        <x:v>12</x:v>
      </x:c>
      <x:c r="E15" s="8" t="n">
        <x:v>15</x:v>
      </x:c>
      <x:c r="F15" s="8" t="n">
        <x:v>18</x:v>
      </x:c>
      <x:c r="G15" s="2"/>
      <x:c r="H15" s="10" t="str">
        <x:v>Assumption: unique buyers with a specific car, consent and viable seller availability.</x:v>
      </x:c>
    </x:row>
    <x:row r="16" ht="36" customHeight="1">
      <x:c r="C16" s="2" t="str">
        <x:v>Partner referral conversion</x:v>
      </x:c>
      <x:c r="D16" s="15" t="n">
        <x:v>0.3</x:v>
      </x:c>
      <x:c r="E16" s="15" t="n">
        <x:v>0.33</x:v>
      </x:c>
      <x:c r="F16" s="15" t="n">
        <x:v>0.35</x:v>
      </x:c>
      <x:c r="G16" s="2"/>
      <x:c r="H16" s="10" t="str">
        <x:v>Assumption: qualified referral to a paid first booking. No credit for loan approval alone.</x:v>
      </x:c>
    </x:row>
    <x:row r="17" ht="36" customHeight="1">
      <x:c r="C17" s="2" t="str">
        <x:v>Direct qualified leads / month</x:v>
      </x:c>
      <x:c r="D17" s="8" t="n">
        <x:v>120</x:v>
      </x:c>
      <x:c r="E17" s="8" t="n">
        <x:v>300</x:v>
      </x:c>
      <x:c r="F17" s="8" t="n">
        <x:v>700</x:v>
      </x:c>
      <x:c r="G17" s="2"/>
      <x:c r="H17" s="10" t="str">
        <x:v>Assumption: blended organic, community and controlled paid acquisition. Excludes partner leads.</x:v>
      </x:c>
    </x:row>
    <x:row r="18" ht="36" customHeight="1">
      <x:c r="C18" s="2" t="str">
        <x:v>Direct lead conversion</x:v>
      </x:c>
      <x:c r="D18" s="15" t="n">
        <x:v>0.2</x:v>
      </x:c>
      <x:c r="E18" s="15" t="n">
        <x:v>0.22</x:v>
      </x:c>
      <x:c r="F18" s="15" t="n">
        <x:v>0.24</x:v>
      </x:c>
      <x:c r="G18" s="2"/>
      <x:c r="H18" s="10" t="str">
        <x:v>Assumption: qualified direct lead to paid first booking.</x:v>
      </x:c>
    </x:row>
    <x:row r="19" ht="36" customHeight="1">
      <x:c r="C19" s="2" t="str">
        <x:v>Additional inspections / paid window</x:v>
      </x:c>
      <x:c r="D19" s="17" t="n">
        <x:v>0.4</x:v>
      </x:c>
      <x:c r="E19" s="17" t="n">
        <x:v>0.5</x:v>
      </x:c>
      <x:c r="F19" s="17" t="n">
        <x:v>0.6</x:v>
      </x:c>
      <x:c r="G19" s="2"/>
      <x:c r="H19" s="10" t="str">
        <x:v>Assumption. A paid window is a purchase episode, not an annual subscription or unique person.</x:v>
      </x:c>
    </x:row>
    <x:row r="20" ht="36" customHeight="1">
      <x:c r="C20" s="2" t="str">
        <x:v>Body shop add-on attachment</x:v>
      </x:c>
      <x:c r="D20" s="15" t="n">
        <x:v>0.25</x:v>
      </x:c>
      <x:c r="E20" s="15" t="n">
        <x:v>0.3</x:v>
      </x:c>
      <x:c r="F20" s="15" t="n">
        <x:v>0.35</x:v>
      </x:c>
      <x:c r="G20" s="2"/>
      <x:c r="H20" s="10" t="str">
        <x:v>Assumption: share of all inspection bookings.</x:v>
      </x:c>
    </x:row>
    <x:row r="21" ht="36" customHeight="1">
      <x:c r="C21" s="2" t="str">
        <x:v>Refunds / credits as % of billings</x:v>
      </x:c>
      <x:c r="D21" s="15" t="n">
        <x:v>0.03</x:v>
      </x:c>
      <x:c r="E21" s="15" t="n">
        <x:v>0.03</x:v>
      </x:c>
      <x:c r="F21" s="15" t="n">
        <x:v>0.03</x:v>
      </x:c>
      <x:c r="G21" s="2"/>
      <x:c r="H21" s="10" t="str">
        <x:v>Assumption. Full service costs retained on refunded bookings for conservative planning.</x:v>
      </x:c>
    </x:row>
    <x:row r="22" ht="36" customHeight="1">
      <x:c r="C22" s="2" t="str">
        <x:v>Mechanic payout / first inspection</x:v>
      </x:c>
      <x:c r="D22" s="16" t="n">
        <x:v>22</x:v>
      </x:c>
      <x:c r="E22" s="16" t="n">
        <x:v>22</x:v>
      </x:c>
      <x:c r="F22" s="16" t="n">
        <x:v>22</x:v>
      </x:c>
      <x:c r="G22" s="2"/>
      <x:c r="H22" s="10" t="str">
        <x:v>Assumption; requires provider agreements, not a sourced wage quote.</x:v>
      </x:c>
    </x:row>
    <x:row r="23" ht="36" customHeight="1">
      <x:c r="C23" s="2" t="str">
        <x:v>Mechanic payout / additional inspection</x:v>
      </x:c>
      <x:c r="D23" s="16" t="n">
        <x:v>15</x:v>
      </x:c>
      <x:c r="E23" s="16" t="n">
        <x:v>15</x:v>
      </x:c>
      <x:c r="F23" s="16" t="n">
        <x:v>15</x:v>
      </x:c>
      <x:c r="G23" s="2"/>
      <x:c r="H23" s="10" t="str">
        <x:v>Assumption; validate separately because the $25 price leaves limited room.</x:v>
      </x:c>
    </x:row>
    <x:row r="24" ht="36" customHeight="1">
      <x:c r="C24" s="2" t="str">
        <x:v>Body shop payout / add-on</x:v>
      </x:c>
      <x:c r="D24" s="16" t="n">
        <x:v>12</x:v>
      </x:c>
      <x:c r="E24" s="16" t="n">
        <x:v>12</x:v>
      </x:c>
      <x:c r="F24" s="16" t="n">
        <x:v>12</x:v>
      </x:c>
      <x:c r="G24" s="2"/>
      <x:c r="H24" s="10" t="str">
        <x:v>Assumption; no repair or financing commissions included.</x:v>
      </x:c>
    </x:row>
    <x:row r="25" ht="36" customHeight="1">
      <x:c r="C25" s="2" t="str">
        <x:v>Payment processing percentage</x:v>
      </x:c>
      <x:c r="D25" s="15" t="n">
        <x:v>0.029</x:v>
      </x:c>
      <x:c r="E25" s="15" t="n">
        <x:v>0.029</x:v>
      </x:c>
      <x:c r="F25" s="15" t="n">
        <x:v>0.029</x:v>
      </x:c>
      <x:c r="G25" s="2"/>
      <x:c r="H25" s="10" t="str">
        <x:v>Stripe Canada public domestic-card rate, accessed 28 Oct 2026: https://stripe.com/en-ca/pricing</x:v>
      </x:c>
    </x:row>
    <x:row r="26" ht="36" customHeight="1">
      <x:c r="C26" s="2" t="str">
        <x:v>Payment processing / transaction</x:v>
      </x:c>
      <x:c r="D26" s="16" t="n">
        <x:v>0.3</x:v>
      </x:c>
      <x:c r="E26" s="16" t="n">
        <x:v>0.3</x:v>
      </x:c>
      <x:c r="F26" s="16" t="n">
        <x:v>0.3</x:v>
      </x:c>
      <x:c r="G26" s="2"/>
      <x:c r="H26" s="10" t="str">
        <x:v>Stripe Canada public domestic-card rate: CA$0.30. One payment per inspection, including its add-on.</x:v>
      </x:c>
    </x:row>
    <x:row r="27" ht="36" customHeight="1">
      <x:c r="C27" s="2" t="str">
        <x:v>HST charged on customer billings</x:v>
      </x:c>
      <x:c r="D27" s="15" t="n">
        <x:v>0.13</x:v>
      </x:c>
      <x:c r="E27" s="15" t="n">
        <x:v>0.13</x:v>
      </x:c>
      <x:c r="F27" s="15" t="n">
        <x:v>0.13</x:v>
      </x:c>
      <x:c r="G27" s="2"/>
      <x:c r="H27" s="10" t="str">
        <x:v>CRA Ontario rate 13%: https://www.canada.ca/en/revenue-agency/services/tax/businesses/topics/gst-hst-businesses/charge-collect-place-supply.html — taxable registered supplier assumed; confirm treatment.</x:v>
      </x:c>
    </x:row>
    <x:row r="28" ht="36" customHeight="1">
      <x:c r="C28" s="2" t="str">
        <x:v>Video / messages / support per inspection</x:v>
      </x:c>
      <x:c r="D28" s="16" t="n">
        <x:v>1.75</x:v>
      </x:c>
      <x:c r="E28" s="16" t="n">
        <x:v>1.75</x:v>
      </x:c>
      <x:c r="F28" s="16" t="n">
        <x:v>1.75</x:v>
      </x:c>
      <x:c r="G28" s="2"/>
      <x:c r="H28" s="10" t="str">
        <x:v>Assumption: $0.50 variable technology and $1.25 variable service support. Fixed payroll is separate.</x:v>
      </x:c>
    </x:row>
    <x:row r="29" ht="36" customHeight="1">
      <x:c r="C29" s="2" t="str">
        <x:v>Referral fee / served partner window</x:v>
      </x:c>
      <x:c r="D29" s="16" t="n">
        <x:v>5</x:v>
      </x:c>
      <x:c r="E29" s="16" t="n">
        <x:v>5</x:v>
      </x:c>
      <x:c r="F29" s="16" t="n">
        <x:v>5</x:v>
      </x:c>
      <x:c r="G29" s="2"/>
      <x:c r="H29" s="10" t="str">
        <x:v>Proposed cost, payable only on eligible first bookings; not an agreed Rodney contract.</x:v>
      </x:c>
    </x:row>
    <x:row r="30" ht="36" customHeight="1">
      <x:c r="C30" s="2" t="str">
        <x:v>Direct acquisition cost / served window</x:v>
      </x:c>
      <x:c r="D30" s="16" t="n">
        <x:v>12</x:v>
      </x:c>
      <x:c r="E30" s="16" t="n">
        <x:v>14</x:v>
      </x:c>
      <x:c r="F30" s="16" t="n">
        <x:v>16</x:v>
      </x:c>
      <x:c r="G30" s="2"/>
      <x:c r="H30" s="10" t="str">
        <x:v>Assumption: blended external marketing spend. Founder/business-development pay is in fixed costs.</x:v>
      </x:c>
    </x:row>
    <x:row r="31" ht="36" customHeight="1">
      <x:c r="C31" s="2" t="str">
        <x:v>Founder cash compensation</x:v>
      </x:c>
      <x:c r="D31" s="8" t="n">
        <x:v>12000</x:v>
      </x:c>
      <x:c r="E31" s="8" t="n">
        <x:v>30000</x:v>
      </x:c>
      <x:c r="F31" s="8" t="n">
        <x:v>60000</x:v>
      </x:c>
      <x:c r="G31" s="2"/>
      <x:c r="H31" s="10" t="str">
        <x:v>Assumption; deliberately below $60k replacement pay in Years 1 and 2.</x:v>
      </x:c>
    </x:row>
    <x:row r="32" ht="36" customHeight="1">
      <x:c r="C32" s="2" t="str">
        <x:v>Fixed operations / coordination payroll</x:v>
      </x:c>
      <x:c r="D32" s="8" t="n">
        <x:v>0</x:v>
      </x:c>
      <x:c r="E32" s="8" t="n">
        <x:v>12000</x:v>
      </x:c>
      <x:c r="F32" s="8" t="n">
        <x:v>24000</x:v>
      </x:c>
      <x:c r="G32" s="2"/>
      <x:c r="H32" s="10" t="str">
        <x:v>Assumption; incremental to variable support and contractor inspection payouts. All-in budget.</x:v>
      </x:c>
    </x:row>
    <x:row r="33" ht="36" customHeight="1">
      <x:c r="C33" s="2" t="str">
        <x:v>Product / maintenance budget</x:v>
      </x:c>
      <x:c r="D33" s="8" t="n">
        <x:v>12000</x:v>
      </x:c>
      <x:c r="E33" s="8" t="n">
        <x:v>18000</x:v>
      </x:c>
      <x:c r="F33" s="8" t="n">
        <x:v>24000</x:v>
      </x:c>
      <x:c r="G33" s="2"/>
      <x:c r="H33" s="10" t="str">
        <x:v>Assumption; external product maintenance. Initial launch build is separate.</x:v>
      </x:c>
    </x:row>
    <x:row r="34" ht="36" customHeight="1">
      <x:c r="C34" s="2" t="str">
        <x:v>Insurance / professional review</x:v>
      </x:c>
      <x:c r="D34" s="8" t="n">
        <x:v>4800</x:v>
      </x:c>
      <x:c r="E34" s="8" t="n">
        <x:v>6000</x:v>
      </x:c>
      <x:c r="F34" s="8" t="n">
        <x:v>8000</x:v>
      </x:c>
      <x:c r="G34" s="2"/>
      <x:c r="H34" s="10" t="str">
        <x:v>Assumption; obtain actual professional liability, cyber and legal quotes.</x:v>
      </x:c>
    </x:row>
    <x:row r="35" ht="36" customHeight="1">
      <x:c r="C35" s="2" t="str">
        <x:v>Administration / accounting</x:v>
      </x:c>
      <x:c r="D35" s="8" t="n">
        <x:v>6000</x:v>
      </x:c>
      <x:c r="E35" s="8" t="n">
        <x:v>8000</x:v>
      </x:c>
      <x:c r="F35" s="8" t="n">
        <x:v>10000</x:v>
      </x:c>
      <x:c r="G35" s="2"/>
      <x:c r="H35" s="10" t="str">
        <x:v>Assumption; fixed annual overhead.</x:v>
      </x:c>
    </x:row>
    <x:row r="36" ht="36" customHeight="1">
      <x:c r="C36" s="2" t="str">
        <x:v>Fixed hosting / software</x:v>
      </x:c>
      <x:c r="D36" s="8" t="n">
        <x:v>2400</x:v>
      </x:c>
      <x:c r="E36" s="8" t="n">
        <x:v>4800</x:v>
      </x:c>
      <x:c r="F36" s="8" t="n">
        <x:v>7200</x:v>
      </x:c>
      <x:c r="G36" s="2"/>
      <x:c r="H36" s="10" t="str">
        <x:v>Assumption; excludes variable video/messages already in per-inspection cost.</x:v>
      </x:c>
    </x:row>
    <x:row r="37" ht="36" customHeight="1">
      <x:c r="C37" s="2" t="str">
        <x:v>Qualified contractor roster</x:v>
      </x:c>
      <x:c r="D37" s="8" t="n">
        <x:v>4</x:v>
      </x:c>
      <x:c r="E37" s="8" t="n">
        <x:v>10</x:v>
      </x:c>
      <x:c r="F37" s="8" t="n">
        <x:v>24</x:v>
      </x:c>
      <x:c r="G37" s="2"/>
      <x:c r="H37" s="10" t="str">
        <x:v>Assumption: cross-qualified planning equivalents; separate mechanic/body shop availability must be validated.</x:v>
      </x:c>
    </x:row>
    <x:row r="38" ht="36" customHeight="1">
      <x:c r="C38" s="2" t="str">
        <x:v>Offered hours / provider / week</x:v>
      </x:c>
      <x:c r="D38" s="8" t="n">
        <x:v>5</x:v>
      </x:c>
      <x:c r="E38" s="8" t="n">
        <x:v>7</x:v>
      </x:c>
      <x:c r="F38" s="8" t="n">
        <x:v>8</x:v>
      </x:c>
      <x:c r="G38" s="2"/>
      <x:c r="H38" s="10" t="str">
        <x:v>Assumption; scheduled available time, not full-time staff headcount.</x:v>
      </x:c>
    </x:row>
    <x:row r="39" ht="36" customHeight="1">
      <x:c r="C39" s="2" t="str">
        <x:v>Service weeks / year</x:v>
      </x:c>
      <x:c r="D39" s="8" t="n">
        <x:v>48</x:v>
      </x:c>
      <x:c r="E39" s="8" t="n">
        <x:v>48</x:v>
      </x:c>
      <x:c r="F39" s="8" t="n">
        <x:v>48</x:v>
      </x:c>
      <x:c r="G39" s="2"/>
      <x:c r="H39" s="10" t="str">
        <x:v>Assumption: time off and training excluded.</x:v>
      </x:c>
    </x:row>
    <x:row r="40" ht="36" customHeight="1">
      <x:c r="C40" s="2" t="str">
        <x:v>Bookable share of offered hours</x:v>
      </x:c>
      <x:c r="D40" s="15" t="n">
        <x:v>0.65</x:v>
      </x:c>
      <x:c r="E40" s="15" t="n">
        <x:v>0.65</x:v>
      </x:c>
      <x:c r="F40" s="15" t="n">
        <x:v>0.65</x:v>
      </x:c>
      <x:c r="G40" s="2"/>
      <x:c r="H40" s="10" t="str">
        <x:v>Assumption; reserves scheduling gaps, lateness and idle time.</x:v>
      </x:c>
    </x:row>
    <x:row r="41" ht="36" customHeight="1">
      <x:c r="C41" s="2" t="str">
        <x:v>Minutes per first mechanic inspection</x:v>
      </x:c>
      <x:c r="D41" s="8" t="n">
        <x:v>28</x:v>
      </x:c>
      <x:c r="E41" s="8" t="n">
        <x:v>28</x:v>
      </x:c>
      <x:c r="F41" s="8" t="n">
        <x:v>28</x:v>
      </x:c>
      <x:c r="G41" s="2"/>
      <x:c r="H41" s="10" t="str">
        <x:v>Assumption: includes call, notes and report.</x:v>
      </x:c>
    </x:row>
    <x:row r="42" ht="36" customHeight="1">
      <x:c r="C42" s="2" t="str">
        <x:v>Minutes per additional inspection</x:v>
      </x:c>
      <x:c r="D42" s="8" t="n">
        <x:v>20</x:v>
      </x:c>
      <x:c r="E42" s="8" t="n">
        <x:v>20</x:v>
      </x:c>
      <x:c r="F42" s="8" t="n">
        <x:v>20</x:v>
      </x:c>
      <x:c r="G42" s="2"/>
      <x:c r="H42" s="10" t="str">
        <x:v>Assumption; must be validated in pilot.</x:v>
      </x:c>
    </x:row>
    <x:row r="43" ht="36" customHeight="1">
      <x:c r="C43" s="2" t="str">
        <x:v>Minutes per body shop add-on</x:v>
      </x:c>
      <x:c r="D43" s="8" t="n">
        <x:v>10</x:v>
      </x:c>
      <x:c r="E43" s="8" t="n">
        <x:v>10</x:v>
      </x:c>
      <x:c r="F43" s="8" t="n">
        <x:v>10</x:v>
      </x:c>
      <x:c r="G43" s="2"/>
      <x:c r="H43" s="10" t="str">
        <x:v>Assumption; incremental provider time even if live call overlaps.</x:v>
      </x:c>
    </x:row>
    <x:row r="44" ht="36" customHeight="1">
      <x:c r="C44" s="2" t="str">
        <x:v>Founder replacement compensation</x:v>
      </x:c>
      <x:c r="D44" s="8" t="n">
        <x:v>60000</x:v>
      </x:c>
      <x:c r="E44" s="8" t="n">
        <x:v>60000</x:v>
      </x:c>
      <x:c r="F44" s="8" t="n">
        <x:v>60000</x:v>
      </x:c>
      <x:c r="G44" s="2"/>
      <x:c r="H44" s="10" t="str">
        <x:v>Assumption; economic comparison only, not an extra cash expense.</x:v>
      </x:c>
    </x:row>
    <x:row r="45" ht="36" customHeight="1">
      <x:c r="C45" s="2" t="str">
        <x:v>Pre-launch cash budget</x:v>
      </x:c>
      <x:c r="D45" s="8" t="n">
        <x:v>20000</x:v>
      </x:c>
      <x:c r="E45" s="8" t="n">
        <x:v>0</x:v>
      </x:c>
      <x:c r="F45" s="8" t="n">
        <x:v>0</x:v>
      </x:c>
      <x:c r="G45" s="2"/>
      <x:c r="H45" s="10" t="str">
        <x:v>Assumption: $10k build completion, $5k contracts/insurance setup, $3k onboarding, $2k launch assets.</x:v>
      </x:c>
    </x:row>
    <x:row r="46" ht="36" customHeight="1">
      <x:c r="C46" s="2" t="str">
        <x:v>Minimum cash reserve</x:v>
      </x:c>
      <x:c r="D46" s="8" t="n">
        <x:v>25000</x:v>
      </x:c>
      <x:c r="E46" s="8" t="n">
        <x:v>25000</x:v>
      </x:c>
      <x:c r="F46" s="8" t="n">
        <x:v>25000</x:v>
      </x:c>
      <x:c r="G46" s="2"/>
      <x:c r="H46" s="10" t="str">
        <x:v>Assumption. Annual cash trough is a lower-bound proxy; no monthly working-capital model.</x:v>
      </x:c>
    </x:row>
    <x:row r="47" ht="21" customHeight="1">
      <x:c r="C47" s="2"/>
      <x:c r="D47" s="3"/>
      <x:c r="E47" s="3"/>
      <x:c r="F47" s="3"/>
      <x:c r="G47" s="2"/>
      <x:c r="H47" s="2"/>
    </x:row>
    <x:row r="48" ht="21" customHeight="1">
      <x:c r="C48" s="2" t="str">
        <x:v>Blue numbers are editable. Change D3 to switch cases.</x:v>
      </x:c>
      <x:c r="D48" s="3"/>
      <x:c r="E48" s="3"/>
      <x:c r="F48" s="3"/>
      <x:c r="G48" s="2"/>
      <x:c r="H48" s="9" t="str">
        <x:v>Year 1 = first full 12 operating months after launch; Years 2–3 follow. No calendar launch date assumed.</x:v>
      </x:c>
    </x:row>
    <x:row r="49" ht="21" customHeight="1">
      <x:c r="C49" s="2"/>
      <x:c r="D49" s="3"/>
      <x:c r="E49" s="3"/>
      <x:c r="F49" s="3"/>
      <x:c r="G49" s="2"/>
      <x:c r="H49" s="2"/>
    </x:row>
    <x:row r="50" ht="21" customHeight="1">
      <x:c r="C50" s="2" t="str">
        <x:v>Research and evidence</x:v>
      </x:c>
      <x:c r="D50" s="3"/>
      <x:c r="E50" s="3"/>
      <x:c r="F50" s="3"/>
      <x:c r="G50" s="2"/>
      <x:c r="H50" s="2"/>
    </x:row>
    <x:row r="51" ht="46" customHeight="1">
      <x:c r="C51" s="2" t="str">
        <x:v>Rodney / RTFG Financial</x:v>
      </x:c>
      <x:c r="D51" s="3"/>
      <x:c r="E51" s="3"/>
      <x:c r="F51" s="3"/>
      <x:c r="G51" s="2"/>
      <x:c r="H51" s="9" t="str">
        <x:v>https://www.rodneythefinanceguy.ca/ — Public site describes Ontario financial services including car loans. No traffic, conversion or committed SecondLook distribution disclosed.</x:v>
      </x:c>
    </x:row>
    <x:row r="52" ht="46" customHeight="1">
      <x:c r="C52" s="2" t="str">
        <x:v>RTFG partners / affiliates</x:v>
      </x:c>
      <x:c r="D52" s="3"/>
      <x:c r="E52" s="3"/>
      <x:c r="F52" s="3"/>
      <x:c r="G52" s="2"/>
      <x:c r="H52" s="9" t="str">
        <x:v>https://www.rodneythefinanceguy.ca/financial-services/partners-affiliates — Auto-finance affiliate positioning supports the channel hypothesis; does not prove a SecondLook partnership.</x:v>
      </x:c>
    </x:row>
    <x:row r="53" ht="46" customHeight="1">
      <x:c r="C53" s="2" t="str">
        <x:v>Network depth</x:v>
      </x:c>
      <x:c r="D53" s="3"/>
      <x:c r="E53" s="3"/>
      <x:c r="F53" s="3"/>
      <x:c r="G53" s="2"/>
      <x:c r="H53" s="9" t="str">
        <x:v>User-provided context, 28 Oct 2026 — Rodney has deep GTA car-industry connections. No verified network size or signed partner list provided.</x:v>
      </x:c>
    </x:row>
    <x:row r="54" ht="46" customHeight="1">
      <x:c r="C54" s="2" t="str">
        <x:v>Ontario certification</x:v>
      </x:c>
      <x:c r="D54" s="3"/>
      <x:c r="E54" s="3"/>
      <x:c r="F54" s="3"/>
      <x:c r="G54" s="2"/>
      <x:c r="H54" s="9" t="str">
        <x:v>https://www.ontario.ca/page/safety-standards-certificate — Government search excerpt reviewed; direct page returned 403. Confirm DriveON requirements before launch.</x:v>
      </x:c>
    </x:row>
    <x:row r="55" ht="46" customHeight="1">
      <x:c r="C55" s="2" t="str">
        <x:v>OMVIC as-is advertising</x:v>
      </x:c>
      <x:c r="D55" s="3"/>
      <x:c r="E55" s="3"/>
      <x:c r="F55" s="3"/>
      <x:c r="G55" s="2"/>
      <x:c r="H55" s="9" t="str">
        <x:v>https://www.omvic.ca/selling/dealer-guidelines-and-resources/advertising-guideline/ — Dealer advertising context; do not present remote review as a certificate or guaranteed roadworthiness.</x:v>
      </x:c>
    </x:row>
    <x:row r="56" ht="46" customHeight="1">
      <x:c r="C56" s="2" t="str">
        <x:v>CARFAX buying guide</x:v>
      </x:c>
      <x:c r="D56" s="3"/>
      <x:c r="E56" s="3"/>
      <x:c r="F56" s="3"/>
      <x:c r="G56" s="2"/>
      <x:c r="H56" s="9" t="str">
        <x:v>https://www.carfax.ca/learn/buying/used-car-buying-guide — Search excerpt recommends pre-purchase inspection. Direct page returned 403. No market volume estimate used.</x:v>
      </x:c>
    </x:row>
    <x:row r="57" ht="21" customHeight="1">
      <x:c r="C57" s="2"/>
      <x:c r="D57" s="3"/>
      <x:c r="E57" s="3"/>
      <x:c r="F57" s="3"/>
      <x:c r="G57" s="2"/>
      <x:c r="H57" s="2"/>
    </x:row>
    <x:row r="58" ht="21" customHeight="1">
      <x:c r="C58" s="2"/>
      <x:c r="D58" s="3"/>
      <x:c r="E58" s="3"/>
      <x:c r="F58" s="3"/>
      <x:c r="G58" s="2"/>
      <x:c r="H58" s="2"/>
    </x:row>
    <x:row r="59" ht="21" customHeight="1">
      <x:c r="C59" s="2"/>
      <x:c r="D59" s="3"/>
      <x:c r="E59" s="3"/>
      <x:c r="F59" s="3"/>
      <x:c r="G59" s="2"/>
      <x:c r="H59" s="2"/>
    </x:row>
    <x:row r="60" ht="21" customHeight="1">
      <x:c r="C60" s="2"/>
      <x:c r="D60" s="3"/>
      <x:c r="E60" s="3"/>
      <x:c r="F60" s="3"/>
      <x:c r="G60" s="2"/>
      <x:c r="H60" s="2"/>
    </x:row>
    <x:row r="61" ht="21" customHeight="1">
      <x:c r="C61" s="2"/>
      <x:c r="D61" s="3"/>
      <x:c r="E61" s="3"/>
      <x:c r="F61" s="3"/>
      <x:c r="G61" s="2"/>
      <x:c r="H61" s="2"/>
    </x:row>
    <x:row r="62" ht="21" customHeight="1">
      <x:c r="C62" s="2"/>
      <x:c r="D62" s="3"/>
      <x:c r="E62" s="3"/>
      <x:c r="F62" s="3"/>
      <x:c r="G62" s="2"/>
      <x:c r="H62" s="2"/>
    </x:row>
    <x:row r="63" ht="21" customHeight="1">
      <x:c r="C63" s="2"/>
      <x:c r="D63" s="3"/>
      <x:c r="E63" s="3"/>
      <x:c r="F63" s="3"/>
      <x:c r="G63" s="2"/>
      <x:c r="H63" s="2"/>
    </x:row>
    <x:row r="64" ht="21" customHeight="1">
      <x:c r="C64" s="2"/>
      <x:c r="D64" s="3"/>
      <x:c r="E64" s="3"/>
      <x:c r="F64" s="3"/>
      <x:c r="G64" s="2"/>
      <x:c r="H64" s="2"/>
    </x:row>
    <x:row r="65" ht="21" customHeight="1">
      <x:c r="C65" s="2"/>
      <x:c r="D65" s="3"/>
      <x:c r="E65" s="3"/>
      <x:c r="F65" s="3"/>
      <x:c r="G65" s="2"/>
      <x:c r="H65" s="2"/>
    </x:row>
    <x:row r="66" ht="21" customHeight="1">
      <x:c r="C66" s="2"/>
      <x:c r="D66" s="3"/>
      <x:c r="E66" s="3"/>
      <x:c r="F66" s="3"/>
      <x:c r="G66" s="2"/>
      <x:c r="H66" s="2"/>
    </x:row>
    <x:row r="67" ht="21" customHeight="1">
      <x:c r="C67" s="2"/>
      <x:c r="D67" s="3"/>
      <x:c r="E67" s="3"/>
      <x:c r="F67" s="3"/>
      <x:c r="G67" s="2"/>
      <x:c r="H67" s="2"/>
    </x:row>
    <x:row r="68" ht="21" customHeight="1">
      <x:c r="C68" s="2"/>
      <x:c r="D68" s="3"/>
      <x:c r="E68" s="3"/>
      <x:c r="F68" s="3"/>
      <x:c r="G68" s="2"/>
      <x:c r="H68" s="2"/>
    </x:row>
    <x:row r="69" ht="21" customHeight="1">
      <x:c r="C69" s="2"/>
      <x:c r="D69" s="3"/>
      <x:c r="E69" s="3"/>
      <x:c r="F69" s="3"/>
      <x:c r="G69" s="2"/>
      <x:c r="H69" s="2"/>
    </x:row>
    <x:row r="70" ht="21" customHeight="1">
      <x:c r="C70" s="2"/>
      <x:c r="D70" s="3"/>
      <x:c r="E70" s="3"/>
      <x:c r="F70" s="3"/>
      <x:c r="G70" s="2"/>
      <x:c r="H70" s="2"/>
    </x:row>
    <x:row r="71" ht="21" customHeight="1">
      <x:c r="C71" s="2"/>
      <x:c r="D71" s="3"/>
      <x:c r="E71" s="3"/>
      <x:c r="F71" s="3"/>
      <x:c r="G71" s="2"/>
      <x:c r="H71" s="2"/>
    </x:row>
    <x:row r="72" ht="21" customHeight="1">
      <x:c r="C72" s="2"/>
      <x:c r="D72" s="3"/>
      <x:c r="E72" s="3"/>
      <x:c r="F72" s="3"/>
      <x:c r="G72" s="2"/>
      <x:c r="H72" s="2"/>
    </x:row>
    <x:row r="73" ht="21" customHeight="1">
      <x:c r="C73" s="2"/>
      <x:c r="D73" s="3"/>
      <x:c r="E73" s="3"/>
      <x:c r="F73" s="3"/>
      <x:c r="G73" s="2"/>
      <x:c r="H73" s="2"/>
    </x:row>
    <x:row r="74" ht="21" customHeight="1">
      <x:c r="C74" s="2"/>
      <x:c r="D74" s="3"/>
      <x:c r="E74" s="3"/>
      <x:c r="F74" s="3"/>
      <x:c r="G74" s="2"/>
      <x:c r="H74" s="2"/>
    </x:row>
    <x:row r="75" ht="21" customHeight="1">
      <x:c r="C75" s="2"/>
      <x:c r="D75" s="3"/>
      <x:c r="E75" s="3"/>
      <x:c r="F75" s="3"/>
      <x:c r="G75" s="2"/>
      <x:c r="H75" s="2"/>
    </x:row>
    <x:row r="76" ht="21" customHeight="1">
      <x:c r="C76" s="2"/>
      <x:c r="D76" s="3"/>
      <x:c r="E76" s="3"/>
      <x:c r="F76" s="3"/>
      <x:c r="G76" s="2"/>
      <x:c r="H76" s="2"/>
    </x:row>
    <x:row r="77" ht="21" customHeight="1">
      <x:c r="C77" s="2"/>
      <x:c r="D77" s="3"/>
      <x:c r="E77" s="3"/>
      <x:c r="F77" s="3"/>
      <x:c r="G77" s="2"/>
      <x:c r="H77" s="2"/>
    </x:row>
    <x:row r="78" ht="21" customHeight="1">
      <x:c r="C78" s="2"/>
      <x:c r="D78" s="3"/>
      <x:c r="E78" s="3"/>
      <x:c r="F78" s="3"/>
      <x:c r="G78" s="2"/>
      <x:c r="H78" s="2"/>
    </x:row>
    <x:row r="79" ht="21" customHeight="1">
      <x:c r="C79" s="2"/>
      <x:c r="D79" s="3"/>
      <x:c r="E79" s="3"/>
      <x:c r="F79" s="3"/>
      <x:c r="G79" s="2"/>
      <x:c r="H79" s="2"/>
    </x:row>
    <x:row r="80" ht="21" customHeight="1">
      <x:c r="C80" s="2"/>
      <x:c r="D80" s="3"/>
      <x:c r="E80" s="3"/>
      <x:c r="F80" s="3"/>
      <x:c r="G80" s="2"/>
      <x:c r="H80" s="2"/>
    </x:row>
    <x:row r="81" ht="21" customHeight="1">
      <x:c r="C81" s="2"/>
      <x:c r="D81" s="3"/>
      <x:c r="E81" s="3"/>
      <x:c r="F81" s="3"/>
      <x:c r="G81" s="2"/>
      <x:c r="H81" s="2"/>
    </x:row>
    <x:row r="82" ht="21" customHeight="1">
      <x:c r="C82" s="2"/>
      <x:c r="D82" s="3"/>
      <x:c r="E82" s="3"/>
      <x:c r="F82" s="3"/>
      <x:c r="G82" s="2"/>
      <x:c r="H82" s="2"/>
    </x:row>
    <x:row r="83" ht="21" customHeight="1">
      <x:c r="C83" s="2"/>
      <x:c r="D83" s="3"/>
      <x:c r="E83" s="3"/>
      <x:c r="F83" s="3"/>
      <x:c r="G83" s="2"/>
      <x:c r="H83" s="2"/>
    </x:row>
    <x:row r="84" ht="21" customHeight="1">
      <x:c r="C84" s="2"/>
      <x:c r="D84" s="3"/>
      <x:c r="E84" s="3"/>
      <x:c r="F84" s="3"/>
      <x:c r="G84" s="2"/>
      <x:c r="H84" s="2"/>
    </x:row>
    <x:row r="85" ht="21" customHeight="1">
      <x:c r="C85" s="2"/>
      <x:c r="D85" s="3"/>
      <x:c r="E85" s="3"/>
      <x:c r="F85" s="3"/>
      <x:c r="G85" s="2"/>
      <x:c r="H85" s="2"/>
    </x:row>
    <x:row r="86" ht="21" customHeight="1">
      <x:c r="C86" s="2"/>
      <x:c r="D86" s="3"/>
      <x:c r="E86" s="3"/>
      <x:c r="F86" s="3"/>
      <x:c r="G86" s="2"/>
      <x:c r="H86" s="2"/>
    </x:row>
    <x:row r="87" ht="21" customHeight="1">
      <x:c r="C87" s="2"/>
      <x:c r="D87" s="3"/>
      <x:c r="E87" s="3"/>
      <x:c r="F87" s="3"/>
      <x:c r="G87" s="2"/>
      <x:c r="H87" s="2"/>
    </x:row>
    <x:row r="88" ht="21" customHeight="1">
      <x:c r="C88" s="2"/>
      <x:c r="D88" s="3"/>
      <x:c r="E88" s="3"/>
      <x:c r="F88" s="3"/>
      <x:c r="G88" s="2"/>
      <x:c r="H88" s="2"/>
    </x:row>
    <x:row r="89" ht="21" customHeight="1">
      <x:c r="C89" s="2"/>
      <x:c r="D89" s="3"/>
      <x:c r="E89" s="3"/>
      <x:c r="F89" s="3"/>
      <x:c r="G89" s="2"/>
      <x:c r="H89" s="2"/>
    </x:row>
    <x:row r="90" ht="21" customHeight="1">
      <x:c r="C90" s="2"/>
      <x:c r="D90" s="3"/>
      <x:c r="E90" s="3"/>
      <x:c r="F90" s="3"/>
      <x:c r="G90" s="2"/>
      <x:c r="H90" s="2"/>
    </x:row>
    <x:row r="91" ht="21" customHeight="1">
      <x:c r="C91" s="2"/>
      <x:c r="D91" s="3"/>
      <x:c r="E91" s="3"/>
      <x:c r="F91" s="3"/>
      <x:c r="G91" s="2"/>
      <x:c r="H91" s="2"/>
    </x:row>
    <x:row r="92" ht="21" customHeight="1">
      <x:c r="C92" s="2"/>
      <x:c r="D92" s="3"/>
      <x:c r="E92" s="3"/>
      <x:c r="F92" s="3"/>
      <x:c r="G92" s="2"/>
      <x:c r="H92" s="2"/>
    </x:row>
    <x:row r="93" ht="21" customHeight="1">
      <x:c r="C93" s="2"/>
      <x:c r="D93" s="3"/>
      <x:c r="E93" s="3"/>
      <x:c r="F93" s="3"/>
      <x:c r="G93" s="2"/>
      <x:c r="H93" s="2"/>
    </x:row>
    <x:row r="94" ht="21" customHeight="1">
      <x:c r="C94" s="2"/>
      <x:c r="D94" s="3"/>
      <x:c r="E94" s="3"/>
      <x:c r="F94" s="3"/>
      <x:c r="G94" s="2"/>
      <x:c r="H94" s="2"/>
    </x:row>
    <x:row r="95" ht="21" customHeight="1">
      <x:c r="C95" s="2"/>
      <x:c r="D95" s="3"/>
      <x:c r="E95" s="3"/>
      <x:c r="F95" s="3"/>
      <x:c r="G95" s="2"/>
      <x:c r="H95" s="2"/>
    </x:row>
    <x:row r="96" ht="21" customHeight="1">
      <x:c r="C96" s="2"/>
      <x:c r="D96" s="3"/>
      <x:c r="E96" s="3"/>
      <x:c r="F96" s="3"/>
      <x:c r="G96" s="2"/>
      <x:c r="H96" s="2"/>
    </x:row>
    <x:row r="97" ht="21" customHeight="1">
      <x:c r="C97" s="2"/>
      <x:c r="D97" s="3"/>
      <x:c r="E97" s="3"/>
      <x:c r="F97" s="3"/>
      <x:c r="G97" s="2"/>
      <x:c r="H97" s="2"/>
    </x:row>
    <x:row r="98" ht="21" customHeight="1">
      <x:c r="C98" s="2"/>
      <x:c r="D98" s="3"/>
      <x:c r="E98" s="3"/>
      <x:c r="F98" s="3"/>
      <x:c r="G98" s="2"/>
      <x:c r="H98" s="2"/>
    </x:row>
    <x:row r="99" ht="21" customHeight="1">
      <x:c r="C99" s="2"/>
      <x:c r="D99" s="3"/>
      <x:c r="E99" s="3"/>
      <x:c r="F99" s="3"/>
      <x:c r="G99" s="2"/>
      <x:c r="H99" s="2"/>
    </x:row>
    <x:row r="100" ht="21" customHeight="1">
      <x:c r="C100" s="2"/>
      <x:c r="D100" s="3"/>
      <x:c r="E100" s="3"/>
      <x:c r="F100" s="3"/>
      <x:c r="G100" s="2"/>
      <x:c r="H100" s="2"/>
    </x:row>
    <x:row r="101" ht="21" customHeight="1">
      <x:c r="C101" s="2"/>
      <x:c r="D101" s="3"/>
      <x:c r="E101" s="3"/>
      <x:c r="F101" s="3"/>
      <x:c r="G101" s="2"/>
      <x:c r="H101" s="2"/>
    </x:row>
    <x:row r="102" ht="21" customHeight="1">
      <x:c r="C102" s="2"/>
      <x:c r="D102" s="3"/>
      <x:c r="E102" s="3"/>
      <x:c r="F102" s="3"/>
      <x:c r="G102" s="2"/>
      <x:c r="H102" s="2"/>
    </x:row>
    <x:row r="103" ht="21" customHeight="1">
      <x:c r="C103" s="2"/>
      <x:c r="D103" s="3"/>
      <x:c r="E103" s="3"/>
      <x:c r="F103" s="3"/>
      <x:c r="G103" s="2"/>
      <x:c r="H103" s="2"/>
    </x:row>
    <x:row r="104" ht="21" customHeight="1">
      <x:c r="C104" s="2"/>
      <x:c r="D104" s="3"/>
      <x:c r="E104" s="3"/>
      <x:c r="F104" s="3"/>
      <x:c r="G104" s="2"/>
      <x:c r="H104" s="2"/>
    </x:row>
    <x:row r="105" ht="21" customHeight="1">
      <x:c r="C105" s="2"/>
      <x:c r="D105" s="3"/>
      <x:c r="E105" s="3"/>
      <x:c r="F105" s="3"/>
      <x:c r="G105" s="2"/>
      <x:c r="H105" s="2"/>
    </x:row>
  </x:sheetData>
  <x:dataValidations count="1">
    <x:dataValidation type="list" sqref="D3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76" hidden="0" customWidth="1"/>
  </x:cols>
  <x:sheetData>
    <x:row r="1" ht="21" customHeight="1">
      <x:c r="C1" s="4" t="str">
        <x:v>SecondLook operating forecast</x:v>
      </x:c>
      <x:c r="D1" s="3"/>
      <x:c r="E1" s="3"/>
      <x:c r="F1" s="3"/>
      <x:c r="G1" s="2"/>
      <x:c r="H1" s="2"/>
    </x:row>
    <x:row r="2" ht="21" customHeight="1">
      <x:c r="C2" s="2" t="str">
        <x:v>CAD before HST • annual demand capped by provider capacity</x:v>
      </x:c>
      <x:c r="D2" s="3"/>
      <x:c r="E2" s="3"/>
      <x:c r="F2" s="3"/>
      <x:c r="G2" s="2"/>
      <x:c r="H2" s="2"/>
    </x:row>
    <x:row r="3" ht="21" customHeight="1">
      <x:c r="C3" s="2"/>
      <x:c r="D3" s="3"/>
      <x:c r="E3" s="3"/>
      <x:c r="F3" s="3"/>
      <x:c r="G3" s="2"/>
      <x:c r="H3" s="2"/>
    </x:row>
    <x:row r="4" ht="21" customHeight="1">
      <x:c r="C4" s="2" t="str">
        <x:v>Selected demand case</x:v>
      </x:c>
      <x:c r="D4" s="18" t="str">
        <x:f>'Assumptions'!D4</x:f>
        <x:v>Base</x:v>
      </x:c>
      <x:c r="E4" s="3"/>
      <x:c r="F4" s="3"/>
      <x:c r="G4" s="2"/>
      <x:c r="H4" s="2"/>
    </x:row>
    <x:row r="5" ht="21" customHeight="1">
      <x:c r="C5" s="2"/>
      <x:c r="D5" s="3"/>
      <x:c r="E5" s="3"/>
      <x:c r="F5" s="3"/>
      <x:c r="G5" s="2"/>
      <x:c r="H5" s="2"/>
    </x:row>
    <x:row r="6" ht="21" customHeight="1">
      <x:c r="C6" s="2"/>
      <x:c r="D6" s="3"/>
      <x:c r="E6" s="3"/>
      <x:c r="F6" s="3"/>
      <x:c r="G6" s="2"/>
      <x:c r="H6" s="2"/>
    </x:row>
    <x:row r="7" ht="21" customHeight="1">
      <x:c r="C7" s="2"/>
      <x:c r="D7" s="3"/>
      <x:c r="E7" s="3"/>
      <x:c r="F7" s="3"/>
      <x:c r="G7" s="2"/>
      <x:c r="H7" s="2"/>
    </x:row>
    <x:row r="8" ht="21" customHeight="1">
      <x:c r="C8" s="2"/>
      <x:c r="D8" s="3"/>
      <x:c r="E8" s="3"/>
      <x:c r="F8" s="3"/>
      <x:c r="G8" s="2"/>
      <x:c r="H8" s="2"/>
    </x:row>
    <x:row r="9" ht="21" customHeight="1">
      <x:c r="C9" s="2"/>
      <x:c r="D9" s="3"/>
      <x:c r="E9" s="3"/>
      <x:c r="F9" s="3"/>
      <x:c r="G9" s="2"/>
      <x:c r="H9" s="2"/>
    </x:row>
    <x:row r="10" ht="21" customHeight="1">
      <x:c r="C10" s="2"/>
      <x:c r="D10" s="7" t="str">
        <x:v>Year 1</x:v>
      </x:c>
      <x:c r="E10" s="7" t="str">
        <x:v>Year 2</x:v>
      </x:c>
      <x:c r="F10" s="7" t="str">
        <x:v>Year 3</x:v>
      </x:c>
      <x:c r="G10" s="2"/>
      <x:c r="H10" s="2"/>
    </x:row>
    <x:row r="11" ht="26" customHeight="1">
      <x:c r="C11" s="20" t="str">
        <x:v>Demand and service capacity</x:v>
      </x:c>
      <x:c r="D11" s="6"/>
      <x:c r="E11" s="6"/>
      <x:c r="F11" s="6"/>
      <x:c r="G11" s="2"/>
      <x:c r="H11" s="2"/>
    </x:row>
    <x:row r="12" ht="21" customHeight="1">
      <x:c r="C12" s="2" t="str">
        <x:v>Partner window demand</x:v>
      </x:c>
      <x:c r="D12" s="18" t="n">
        <x:f>ROUND('Assumptions'!D14*'Assumptions'!D15*12*'Assumptions'!D16*'Assumptions'!D5,0)</x:f>
        <x:v>432</x:v>
      </x:c>
      <x:c r="E12" s="18" t="n">
        <x:f>ROUND('Assumptions'!E14*'Assumptions'!E15*12*'Assumptions'!E16*'Assumptions'!E5,0)</x:f>
        <x:v>1782</x:v>
      </x:c>
      <x:c r="F12" s="18" t="n">
        <x:f>ROUND('Assumptions'!F14*'Assumptions'!F15*12*'Assumptions'!F16*'Assumptions'!F5,0)</x:f>
        <x:v>4914</x:v>
      </x:c>
      <x:c r="G12" s="2"/>
      <x:c r="H12" s="2"/>
    </x:row>
    <x:row r="13" ht="21" customHeight="1">
      <x:c r="C13" s="2" t="str">
        <x:v>Direct window demand</x:v>
      </x:c>
      <x:c r="D13" s="18" t="n">
        <x:f>ROUND('Assumptions'!D17*12*'Assumptions'!D18*'Assumptions'!D5,0)</x:f>
        <x:v>288</x:v>
      </x:c>
      <x:c r="E13" s="18" t="n">
        <x:f>ROUND('Assumptions'!E17*12*'Assumptions'!E18*'Assumptions'!E5,0)</x:f>
        <x:v>792</x:v>
      </x:c>
      <x:c r="F13" s="18" t="n">
        <x:f>ROUND('Assumptions'!F17*12*'Assumptions'!F18*'Assumptions'!F5,0)</x:f>
        <x:v>2016</x:v>
      </x:c>
      <x:c r="G13" s="2"/>
      <x:c r="H13" s="2"/>
    </x:row>
    <x:row r="14" ht="21" customHeight="1">
      <x:c r="C14" s="2" t="str">
        <x:v>Total paid-window demand</x:v>
      </x:c>
      <x:c r="D14" s="3" t="n">
        <x:f>SUM(D12:D13)</x:f>
        <x:v>720</x:v>
      </x:c>
      <x:c r="E14" s="3" t="n">
        <x:f>SUM(E12:E13)</x:f>
        <x:v>2574</x:v>
      </x:c>
      <x:c r="F14" s="3" t="n">
        <x:f>SUM(F12:F13)</x:f>
        <x:v>6930</x:v>
      </x:c>
      <x:c r="G14" s="2"/>
      <x:c r="H14" s="2"/>
    </x:row>
    <x:row r="15" ht="21" customHeight="1">
      <x:c r="C15" s="2" t="str">
        <x:v>Additional inspections / window</x:v>
      </x:c>
      <x:c r="D15" s="26" t="n">
        <x:f>'Assumptions'!D19</x:f>
        <x:v>0.4</x:v>
      </x:c>
      <x:c r="E15" s="26" t="n">
        <x:f>'Assumptions'!E19</x:f>
        <x:v>0.5</x:v>
      </x:c>
      <x:c r="F15" s="26" t="n">
        <x:f>'Assumptions'!F19</x:f>
        <x:v>0.6</x:v>
      </x:c>
      <x:c r="G15" s="2"/>
      <x:c r="H15" s="2"/>
    </x:row>
    <x:row r="16" ht="21" customHeight="1">
      <x:c r="C16" s="22" t="str">
        <x:v>Add-on attachment</x:v>
      </x:c>
      <x:c r="D16" s="23" t="n">
        <x:f>'Assumptions'!D20</x:f>
        <x:v>0.25</x:v>
      </x:c>
      <x:c r="E16" s="23" t="n">
        <x:f>'Assumptions'!E20</x:f>
        <x:v>0.3</x:v>
      </x:c>
      <x:c r="F16" s="23" t="n">
        <x:f>'Assumptions'!F20</x:f>
        <x:v>0.35</x:v>
      </x:c>
      <x:c r="G16" s="2"/>
      <x:c r="H16" s="2"/>
    </x:row>
    <x:row r="17" ht="21" customHeight="1">
      <x:c r="C17" s="2" t="str">
        <x:v>Provider minutes / paid window</x:v>
      </x:c>
      <x:c r="D17" s="18" t="n">
        <x:f>'Assumptions'!D41+D15*'Assumptions'!D42+(1+D15)*D16*'Assumptions'!D43</x:f>
        <x:v>39.5</x:v>
      </x:c>
      <x:c r="E17" s="18" t="n">
        <x:f>'Assumptions'!E41+E15*'Assumptions'!E42+(1+E15)*E16*'Assumptions'!E43</x:f>
        <x:v>42.5</x:v>
      </x:c>
      <x:c r="F17" s="18" t="n">
        <x:f>'Assumptions'!F41+F15*'Assumptions'!F42+(1+F15)*F16*'Assumptions'!F43</x:f>
        <x:v>45.6</x:v>
      </x:c>
      <x:c r="G17" s="2"/>
      <x:c r="H17" s="2"/>
    </x:row>
    <x:row r="18" ht="21" customHeight="1">
      <x:c r="C18" s="2" t="str">
        <x:v>Bookable provider hours</x:v>
      </x:c>
      <x:c r="D18" s="18" t="n">
        <x:f>'Assumptions'!D37*'Assumptions'!D38*'Assumptions'!D39*'Assumptions'!D40</x:f>
        <x:v>624</x:v>
      </x:c>
      <x:c r="E18" s="18" t="n">
        <x:f>'Assumptions'!E37*'Assumptions'!E38*'Assumptions'!E39*'Assumptions'!E40</x:f>
        <x:v>2184</x:v>
      </x:c>
      <x:c r="F18" s="18" t="n">
        <x:f>'Assumptions'!F37*'Assumptions'!F38*'Assumptions'!F39*'Assumptions'!F40</x:f>
        <x:v>5990.400000000001</x:v>
      </x:c>
      <x:c r="G18" s="2"/>
      <x:c r="H18" s="2"/>
    </x:row>
    <x:row r="19" ht="21" customHeight="1">
      <x:c r="C19" s="2" t="str">
        <x:v>Maximum windows at planned capacity</x:v>
      </x:c>
      <x:c r="D19" s="3" t="n">
        <x:f>ROUNDDOWN(D18*60/D17,0)</x:f>
        <x:v>947</x:v>
      </x:c>
      <x:c r="E19" s="3" t="n">
        <x:f>ROUNDDOWN(E18*60/E17,0)</x:f>
        <x:v>3083</x:v>
      </x:c>
      <x:c r="F19" s="3" t="n">
        <x:f>ROUNDDOWN(F18*60/F17,0)</x:f>
        <x:v>7882</x:v>
      </x:c>
      <x:c r="G19" s="2"/>
      <x:c r="H19" s="2"/>
    </x:row>
    <x:row r="20" ht="21" customHeight="1">
      <x:c r="C20" s="34" t="str">
        <x:v>Served paid windows</x:v>
      </x:c>
      <x:c r="D20" s="35" t="n">
        <x:f>MIN(D14,D19)</x:f>
        <x:v>720</x:v>
      </x:c>
      <x:c r="E20" s="35" t="n">
        <x:f>MIN(E14,E19)</x:f>
        <x:v>2574</x:v>
      </x:c>
      <x:c r="F20" s="35" t="n">
        <x:f>MIN(F14,F19)</x:f>
        <x:v>6930</x:v>
      </x:c>
      <x:c r="G20" s="2"/>
      <x:c r="H20" s="2"/>
    </x:row>
    <x:row r="21" ht="21" customHeight="1">
      <x:c r="C21" s="2" t="str">
        <x:v>Unserved window demand</x:v>
      </x:c>
      <x:c r="D21" s="3" t="n">
        <x:f>D14-D20</x:f>
        <x:v>0</x:v>
      </x:c>
      <x:c r="E21" s="3" t="n">
        <x:f>E14-E20</x:f>
        <x:v>0</x:v>
      </x:c>
      <x:c r="F21" s="3" t="n">
        <x:f>F14-F20</x:f>
        <x:v>0</x:v>
      </x:c>
      <x:c r="G21" s="2"/>
      <x:c r="H21" s="2"/>
    </x:row>
    <x:row r="22" ht="21" customHeight="1">
      <x:c r="C22" s="2" t="str">
        <x:v>Served partner windows</x:v>
      </x:c>
      <x:c r="D22" s="3" t="n">
        <x:f>IF(D14=0,0,ROUND(D20*D12/D14,0))</x:f>
        <x:v>432</x:v>
      </x:c>
      <x:c r="E22" s="3" t="n">
        <x:f>IF(E14=0,0,ROUND(E20*E12/E14,0))</x:f>
        <x:v>1782</x:v>
      </x:c>
      <x:c r="F22" s="3" t="n">
        <x:f>IF(F14=0,0,ROUND(F20*F12/F14,0))</x:f>
        <x:v>4914</x:v>
      </x:c>
      <x:c r="G22" s="2"/>
      <x:c r="H22" s="2"/>
    </x:row>
    <x:row r="23" ht="21" customHeight="1">
      <x:c r="C23" s="2" t="str">
        <x:v>Served direct windows</x:v>
      </x:c>
      <x:c r="D23" s="3" t="n">
        <x:f>D20-D22</x:f>
        <x:v>288</x:v>
      </x:c>
      <x:c r="E23" s="3" t="n">
        <x:f>E20-E22</x:f>
        <x:v>792</x:v>
      </x:c>
      <x:c r="F23" s="3" t="n">
        <x:f>F20-F22</x:f>
        <x:v>2016</x:v>
      </x:c>
      <x:c r="G23" s="2"/>
      <x:c r="H23" s="2"/>
    </x:row>
    <x:row r="24" ht="21" customHeight="1">
      <x:c r="C24" s="2" t="str">
        <x:v>Additional inspections</x:v>
      </x:c>
      <x:c r="D24" s="3" t="n">
        <x:f>ROUND(D20*D15,0)</x:f>
        <x:v>288</x:v>
      </x:c>
      <x:c r="E24" s="3" t="n">
        <x:f>ROUND(E20*E15,0)</x:f>
        <x:v>1287</x:v>
      </x:c>
      <x:c r="F24" s="3" t="n">
        <x:f>ROUND(F20*F15,0)</x:f>
        <x:v>4158</x:v>
      </x:c>
      <x:c r="G24" s="2"/>
      <x:c r="H24" s="2"/>
    </x:row>
    <x:row r="25" ht="21" customHeight="1">
      <x:c r="C25" s="34" t="str">
        <x:v>Total inspection bookings</x:v>
      </x:c>
      <x:c r="D25" s="35" t="n">
        <x:f>SUM(D20,D24)</x:f>
        <x:v>1008</x:v>
      </x:c>
      <x:c r="E25" s="35" t="n">
        <x:f>SUM(E20,E24)</x:f>
        <x:v>3861</x:v>
      </x:c>
      <x:c r="F25" s="35" t="n">
        <x:f>SUM(F20,F24)</x:f>
        <x:v>11088</x:v>
      </x:c>
      <x:c r="G25" s="2"/>
      <x:c r="H25" s="2"/>
    </x:row>
    <x:row r="26" ht="48" customHeight="1">
      <x:c r="C26" s="2" t="str">
        <x:v>Body shop add-ons (expected)</x:v>
      </x:c>
      <x:c r="D26" s="27" t="n">
        <x:f>D25*D16</x:f>
        <x:v>252</x:v>
      </x:c>
      <x:c r="E26" s="27" t="n">
        <x:f>E25*E16</x:f>
        <x:v>1158.3</x:v>
      </x:c>
      <x:c r="F26" s="27" t="n">
        <x:f>F25*F16</x:f>
        <x:v>3880.7999999999997</x:v>
      </x:c>
      <x:c r="G26" s="2"/>
      <x:c r="H26" s="9" t="str">
        <x:v>Expected add-ons can be fractional in a forecast; invoices remain whole transactions.</x:v>
      </x:c>
    </x:row>
    <x:row r="27" ht="21" customHeight="1">
      <x:c r="C27" s="2" t="str">
        <x:v>Provider delivery hours</x:v>
      </x:c>
      <x:c r="D27" s="28" t="n">
        <x:f>(D20*'Assumptions'!D41+D24*'Assumptions'!D42+D26*'Assumptions'!D43)/60</x:f>
        <x:v>474</x:v>
      </x:c>
      <x:c r="E27" s="28" t="n">
        <x:f>(E20*'Assumptions'!E41+E24*'Assumptions'!E42+E26*'Assumptions'!E43)/60</x:f>
        <x:v>1823.25</x:v>
      </x:c>
      <x:c r="F27" s="28" t="n">
        <x:f>(F20*'Assumptions'!F41+F24*'Assumptions'!F42+F26*'Assumptions'!F43)/60</x:f>
        <x:v>5266.8</x:v>
      </x:c>
      <x:c r="G27" s="2"/>
      <x:c r="H27" s="2"/>
    </x:row>
    <x:row r="28" ht="21" customHeight="1">
      <x:c r="C28" s="22" t="str">
        <x:v>Capacity utilization</x:v>
      </x:c>
      <x:c r="D28" s="25" t="n">
        <x:f>D27/D18</x:f>
        <x:v>0.7596153846153846</x:v>
      </x:c>
      <x:c r="E28" s="25" t="n">
        <x:f>E27/E18</x:f>
        <x:v>0.8348214285714286</x:v>
      </x:c>
      <x:c r="F28" s="25" t="n">
        <x:f>F27/F18</x:f>
        <x:v>0.8792067307692307</x:v>
      </x:c>
      <x:c r="G28" s="2"/>
      <x:c r="H28" s="2"/>
    </x:row>
    <x:row r="29" ht="21" customHeight="1">
      <x:c r="C29" s="2"/>
      <x:c r="D29" s="3"/>
      <x:c r="E29" s="3"/>
      <x:c r="F29" s="3"/>
      <x:c r="G29" s="2"/>
      <x:c r="H29" s="2"/>
    </x:row>
    <x:row r="30" ht="26" customHeight="1">
      <x:c r="C30" s="20" t="str">
        <x:v>Revenue and delivery costs</x:v>
      </x:c>
      <x:c r="D30" s="6"/>
      <x:c r="E30" s="6"/>
      <x:c r="F30" s="6"/>
      <x:c r="G30" s="2"/>
      <x:c r="H30" s="2"/>
    </x:row>
    <x:row r="31" ht="21" customHeight="1">
      <x:c r="C31" s="2" t="str">
        <x:v>First-inspection billings</x:v>
      </x:c>
      <x:c r="D31" s="29" t="n">
        <x:f>D20*'Assumptions'!D11</x:f>
        <x:v>36000</x:v>
      </x:c>
      <x:c r="E31" s="29" t="n">
        <x:f>E20*'Assumptions'!E11</x:f>
        <x:v>128700</x:v>
      </x:c>
      <x:c r="F31" s="29" t="n">
        <x:f>F20*'Assumptions'!F11</x:f>
        <x:v>346500</x:v>
      </x:c>
      <x:c r="G31" s="2"/>
      <x:c r="H31" s="2"/>
    </x:row>
    <x:row r="32" ht="21" customHeight="1">
      <x:c r="C32" s="2" t="str">
        <x:v>Additional-inspection billings</x:v>
      </x:c>
      <x:c r="D32" s="29" t="n">
        <x:f>D24*'Assumptions'!D12</x:f>
        <x:v>7200</x:v>
      </x:c>
      <x:c r="E32" s="29" t="n">
        <x:f>E24*'Assumptions'!E12</x:f>
        <x:v>32175</x:v>
      </x:c>
      <x:c r="F32" s="29" t="n">
        <x:f>F24*'Assumptions'!F12</x:f>
        <x:v>103950</x:v>
      </x:c>
      <x:c r="G32" s="2"/>
      <x:c r="H32" s="2"/>
    </x:row>
    <x:row r="33" ht="21" customHeight="1">
      <x:c r="C33" s="2" t="str">
        <x:v>Body shop add-on billings</x:v>
      </x:c>
      <x:c r="D33" s="29" t="n">
        <x:f>D26*'Assumptions'!D13</x:f>
        <x:v>5040</x:v>
      </x:c>
      <x:c r="E33" s="29" t="n">
        <x:f>E26*'Assumptions'!E13</x:f>
        <x:v>23166</x:v>
      </x:c>
      <x:c r="F33" s="29" t="n">
        <x:f>F26*'Assumptions'!F13</x:f>
        <x:v>77616</x:v>
      </x:c>
      <x:c r="G33" s="2"/>
      <x:c r="H33" s="2"/>
    </x:row>
    <x:row r="34" ht="21" customHeight="1">
      <x:c r="C34" s="34" t="str">
        <x:v>Gross service billings</x:v>
      </x:c>
      <x:c r="D34" s="37" t="n">
        <x:f>SUM(D31:D33)</x:f>
        <x:v>48240</x:v>
      </x:c>
      <x:c r="E34" s="37" t="n">
        <x:f>SUM(E31:E33)</x:f>
        <x:v>184041</x:v>
      </x:c>
      <x:c r="F34" s="37" t="n">
        <x:f>SUM(F31:F33)</x:f>
        <x:v>528066</x:v>
      </x:c>
      <x:c r="G34" s="2"/>
      <x:c r="H34" s="2"/>
    </x:row>
    <x:row r="35" ht="21" customHeight="1">
      <x:c r="C35" s="2" t="str">
        <x:v>Refunds and credits</x:v>
      </x:c>
      <x:c r="D35" s="29" t="n">
        <x:f>-D34*'Assumptions'!D21</x:f>
        <x:v>-1447.2</x:v>
      </x:c>
      <x:c r="E35" s="29" t="n">
        <x:f>-E34*'Assumptions'!E21</x:f>
        <x:v>-5521.23</x:v>
      </x:c>
      <x:c r="F35" s="29" t="n">
        <x:f>-F34*'Assumptions'!F21</x:f>
        <x:v>-15841.98</x:v>
      </x:c>
      <x:c r="G35" s="2"/>
      <x:c r="H35" s="2"/>
    </x:row>
    <x:row r="36" ht="21" customHeight="1">
      <x:c r="C36" s="34" t="str">
        <x:v>Net service revenue</x:v>
      </x:c>
      <x:c r="D36" s="37" t="n">
        <x:f>SUM(D34:D35)</x:f>
        <x:v>46792.8</x:v>
      </x:c>
      <x:c r="E36" s="37" t="n">
        <x:f>SUM(E34:E35)</x:f>
        <x:v>178519.77</x:v>
      </x:c>
      <x:c r="F36" s="37" t="n">
        <x:f>SUM(F34:F35)</x:f>
        <x:v>512224.02</x:v>
      </x:c>
      <x:c r="G36" s="2"/>
      <x:c r="H36" s="2"/>
    </x:row>
    <x:row r="37" ht="21" customHeight="1">
      <x:c r="C37" s="2" t="str">
        <x:v>Mechanic payouts: first inspections</x:v>
      </x:c>
      <x:c r="D37" s="29" t="n">
        <x:f>D20*'Assumptions'!D22</x:f>
        <x:v>15840</x:v>
      </x:c>
      <x:c r="E37" s="29" t="n">
        <x:f>E20*'Assumptions'!E22</x:f>
        <x:v>56628</x:v>
      </x:c>
      <x:c r="F37" s="29" t="n">
        <x:f>F20*'Assumptions'!F22</x:f>
        <x:v>152460</x:v>
      </x:c>
      <x:c r="G37" s="2"/>
      <x:c r="H37" s="2"/>
    </x:row>
    <x:row r="38" ht="21" customHeight="1">
      <x:c r="C38" s="2" t="str">
        <x:v>Mechanic payouts: additional inspections</x:v>
      </x:c>
      <x:c r="D38" s="29" t="n">
        <x:f>D24*'Assumptions'!D23</x:f>
        <x:v>4320</x:v>
      </x:c>
      <x:c r="E38" s="29" t="n">
        <x:f>E24*'Assumptions'!E23</x:f>
        <x:v>19305</x:v>
      </x:c>
      <x:c r="F38" s="29" t="n">
        <x:f>F24*'Assumptions'!F23</x:f>
        <x:v>62370</x:v>
      </x:c>
      <x:c r="G38" s="2"/>
      <x:c r="H38" s="2"/>
    </x:row>
    <x:row r="39" ht="21" customHeight="1">
      <x:c r="C39" s="2" t="str">
        <x:v>Body shop payouts</x:v>
      </x:c>
      <x:c r="D39" s="29" t="n">
        <x:f>D26*'Assumptions'!D24</x:f>
        <x:v>3024</x:v>
      </x:c>
      <x:c r="E39" s="29" t="n">
        <x:f>E26*'Assumptions'!E24</x:f>
        <x:v>13899.599999999999</x:v>
      </x:c>
      <x:c r="F39" s="29" t="n">
        <x:f>F26*'Assumptions'!F24</x:f>
        <x:v>46569.6</x:v>
      </x:c>
      <x:c r="G39" s="2"/>
      <x:c r="H39" s="2"/>
    </x:row>
    <x:row r="40" ht="48" customHeight="1">
      <x:c r="C40" s="2" t="str">
        <x:v>Payment fees (on HST-inclusive charges)</x:v>
      </x:c>
      <x:c r="D40" s="29" t="n">
        <x:f>D34*(1+'Assumptions'!D27)*'Assumptions'!D25+D25*'Assumptions'!D26</x:f>
        <x:v>1883.2248</x:v>
      </x:c>
      <x:c r="E40" s="29" t="n">
        <x:f>E34*(1+'Assumptions'!E27)*'Assumptions'!E25+E25*'Assumptions'!E26</x:f>
        <x:v>7189.3235700000005</x:v>
      </x:c>
      <x:c r="F40" s="29" t="n">
        <x:f>F34*(1+'Assumptions'!F27)*'Assumptions'!F25+F25*'Assumptions'!F26</x:f>
        <x:v>20631.12282</x:v>
      </x:c>
      <x:c r="G40" s="2"/>
      <x:c r="H40" s="9" t="str">
        <x:v>Payment fees charged on gross billings plus assumed 13% HST; no processor-fee refunds assumed. No Connect, cross-border or dispute surcharges included.</x:v>
      </x:c>
    </x:row>
    <x:row r="41" ht="21" customHeight="1">
      <x:c r="C41" s="2" t="str">
        <x:v>Variable technology and support</x:v>
      </x:c>
      <x:c r="D41" s="29" t="n">
        <x:f>D25*'Assumptions'!D28</x:f>
        <x:v>1764</x:v>
      </x:c>
      <x:c r="E41" s="29" t="n">
        <x:f>E25*'Assumptions'!E28</x:f>
        <x:v>6756.75</x:v>
      </x:c>
      <x:c r="F41" s="29" t="n">
        <x:f>F25*'Assumptions'!F28</x:f>
        <x:v>19404</x:v>
      </x:c>
      <x:c r="G41" s="2"/>
      <x:c r="H41" s="2"/>
    </x:row>
    <x:row r="42" ht="21" customHeight="1">
      <x:c r="C42" s="34" t="str">
        <x:v>Delivery costs</x:v>
      </x:c>
      <x:c r="D42" s="37" t="n">
        <x:f>SUM(D37:D41)</x:f>
        <x:v>26831.2248</x:v>
      </x:c>
      <x:c r="E42" s="37" t="n">
        <x:f>SUM(E37:E41)</x:f>
        <x:v>103778.67357000001</x:v>
      </x:c>
      <x:c r="F42" s="37" t="n">
        <x:f>SUM(F37:F41)</x:f>
        <x:v>301434.72282</x:v>
      </x:c>
      <x:c r="G42" s="2"/>
      <x:c r="H42" s="2"/>
    </x:row>
    <x:row r="43" ht="21" customHeight="1">
      <x:c r="C43" s="34" t="str">
        <x:v>Gross contribution before acquisition</x:v>
      </x:c>
      <x:c r="D43" s="37" t="n">
        <x:f>D36-D42</x:f>
        <x:v>19961.575200000003</x:v>
      </x:c>
      <x:c r="E43" s="37" t="n">
        <x:f>E36-E42</x:f>
        <x:v>74741.09642999998</x:v>
      </x:c>
      <x:c r="F43" s="37" t="n">
        <x:f>F36-F42</x:f>
        <x:v>210789.29718</x:v>
      </x:c>
      <x:c r="G43" s="2"/>
      <x:c r="H43" s="2"/>
    </x:row>
    <x:row r="44" ht="21" customHeight="1">
      <x:c r="C44" s="22" t="str">
        <x:v>Gross contribution margin</x:v>
      </x:c>
      <x:c r="D44" s="25" t="n">
        <x:f>D43/D36</x:f>
        <x:v>0.4265950146176335</x:v>
      </x:c>
      <x:c r="E44" s="25" t="n">
        <x:f>E43/E36</x:f>
        <x:v>0.418671256578473</x:v>
      </x:c>
      <x:c r="F44" s="25" t="n">
        <x:f>F43/F36</x:f>
        <x:v>0.4115177909462348</x:v>
      </x:c>
      <x:c r="G44" s="2"/>
      <x:c r="H44" s="2"/>
    </x:row>
    <x:row r="45" ht="21" customHeight="1">
      <x:c r="C45" s="2" t="str">
        <x:v>Partner acquisition fees</x:v>
      </x:c>
      <x:c r="D45" s="29" t="n">
        <x:f>D22*'Assumptions'!D29</x:f>
        <x:v>2160</x:v>
      </x:c>
      <x:c r="E45" s="29" t="n">
        <x:f>E22*'Assumptions'!E29</x:f>
        <x:v>8910</x:v>
      </x:c>
      <x:c r="F45" s="29" t="n">
        <x:f>F22*'Assumptions'!F29</x:f>
        <x:v>24570</x:v>
      </x:c>
      <x:c r="G45" s="2"/>
      <x:c r="H45" s="2"/>
    </x:row>
    <x:row r="46" ht="21" customHeight="1">
      <x:c r="C46" s="2" t="str">
        <x:v>Direct acquisition spend</x:v>
      </x:c>
      <x:c r="D46" s="29" t="n">
        <x:f>D23*'Assumptions'!D30</x:f>
        <x:v>3456</x:v>
      </x:c>
      <x:c r="E46" s="29" t="n">
        <x:f>E23*'Assumptions'!E30</x:f>
        <x:v>11088</x:v>
      </x:c>
      <x:c r="F46" s="29" t="n">
        <x:f>F23*'Assumptions'!F30</x:f>
        <x:v>32256</x:v>
      </x:c>
      <x:c r="G46" s="2"/>
      <x:c r="H46" s="2"/>
    </x:row>
    <x:row r="47" ht="21" customHeight="1">
      <x:c r="C47" s="34" t="str">
        <x:v>Contribution after acquisition</x:v>
      </x:c>
      <x:c r="D47" s="37" t="n">
        <x:f>D43-SUM(D45:D46)</x:f>
        <x:v>14345.575200000003</x:v>
      </x:c>
      <x:c r="E47" s="37" t="n">
        <x:f>E43-SUM(E45:E46)</x:f>
        <x:v>54743.096429999976</x:v>
      </x:c>
      <x:c r="F47" s="37" t="n">
        <x:f>F43-SUM(F45:F46)</x:f>
        <x:v>153963.29718</x:v>
      </x:c>
      <x:c r="G47" s="2"/>
      <x:c r="H47" s="2"/>
    </x:row>
    <x:row r="48" ht="21" customHeight="1">
      <x:c r="C48" s="2" t="str">
        <x:v>Contribution per served paid window</x:v>
      </x:c>
      <x:c r="D48" s="31" t="n">
        <x:f>D47/D20</x:f>
        <x:v>19.924410000000005</x:v>
      </x:c>
      <x:c r="E48" s="31" t="n">
        <x:f>E47/E20</x:f>
        <x:v>21.267714230769222</x:v>
      </x:c>
      <x:c r="F48" s="31" t="n">
        <x:f>F47/F20</x:f>
        <x:v>22.216926</x:v>
      </x:c>
      <x:c r="G48" s="2"/>
      <x:c r="H48" s="2"/>
    </x:row>
    <x:row r="49" ht="21" customHeight="1">
      <x:c r="C49" s="2"/>
      <x:c r="D49" s="30"/>
      <x:c r="E49" s="30"/>
      <x:c r="F49" s="30"/>
      <x:c r="G49" s="2"/>
      <x:c r="H49" s="2"/>
    </x:row>
    <x:row r="50" ht="26" customHeight="1">
      <x:c r="C50" s="20" t="str">
        <x:v>Operating result and funding</x:v>
      </x:c>
      <x:c r="D50" s="6"/>
      <x:c r="E50" s="6"/>
      <x:c r="F50" s="6"/>
      <x:c r="G50" s="2"/>
      <x:c r="H50" s="2"/>
    </x:row>
    <x:row r="51" ht="21" customHeight="1">
      <x:c r="C51" s="2" t="str">
        <x:v>Founder cash compensation</x:v>
      </x:c>
      <x:c r="D51" s="29" t="n">
        <x:f>'Assumptions'!D31</x:f>
        <x:v>12000</x:v>
      </x:c>
      <x:c r="E51" s="29" t="n">
        <x:f>'Assumptions'!E31</x:f>
        <x:v>30000</x:v>
      </x:c>
      <x:c r="F51" s="29" t="n">
        <x:f>'Assumptions'!F31</x:f>
        <x:v>60000</x:v>
      </x:c>
      <x:c r="G51" s="2"/>
      <x:c r="H51" s="2"/>
    </x:row>
    <x:row r="52" ht="21" customHeight="1">
      <x:c r="C52" s="2" t="str">
        <x:v>Fixed operations payroll</x:v>
      </x:c>
      <x:c r="D52" s="29" t="n">
        <x:f>'Assumptions'!D32</x:f>
        <x:v>0</x:v>
      </x:c>
      <x:c r="E52" s="29" t="n">
        <x:f>'Assumptions'!E32</x:f>
        <x:v>12000</x:v>
      </x:c>
      <x:c r="F52" s="29" t="n">
        <x:f>'Assumptions'!F32</x:f>
        <x:v>24000</x:v>
      </x:c>
      <x:c r="G52" s="2"/>
      <x:c r="H52" s="2"/>
    </x:row>
    <x:row r="53" ht="21" customHeight="1">
      <x:c r="C53" s="2" t="str">
        <x:v>Product / maintenance</x:v>
      </x:c>
      <x:c r="D53" s="29" t="n">
        <x:f>'Assumptions'!D33</x:f>
        <x:v>12000</x:v>
      </x:c>
      <x:c r="E53" s="29" t="n">
        <x:f>'Assumptions'!E33</x:f>
        <x:v>18000</x:v>
      </x:c>
      <x:c r="F53" s="29" t="n">
        <x:f>'Assumptions'!F33</x:f>
        <x:v>24000</x:v>
      </x:c>
      <x:c r="G53" s="2"/>
      <x:c r="H53" s="2"/>
    </x:row>
    <x:row r="54" ht="21" customHeight="1">
      <x:c r="C54" s="2" t="str">
        <x:v>Insurance / professional review</x:v>
      </x:c>
      <x:c r="D54" s="29" t="n">
        <x:f>'Assumptions'!D34</x:f>
        <x:v>4800</x:v>
      </x:c>
      <x:c r="E54" s="29" t="n">
        <x:f>'Assumptions'!E34</x:f>
        <x:v>6000</x:v>
      </x:c>
      <x:c r="F54" s="29" t="n">
        <x:f>'Assumptions'!F34</x:f>
        <x:v>8000</x:v>
      </x:c>
      <x:c r="G54" s="2"/>
      <x:c r="H54" s="2"/>
    </x:row>
    <x:row r="55" ht="21" customHeight="1">
      <x:c r="C55" s="2" t="str">
        <x:v>Administration / accounting</x:v>
      </x:c>
      <x:c r="D55" s="29" t="n">
        <x:f>'Assumptions'!D35</x:f>
        <x:v>6000</x:v>
      </x:c>
      <x:c r="E55" s="29" t="n">
        <x:f>'Assumptions'!E35</x:f>
        <x:v>8000</x:v>
      </x:c>
      <x:c r="F55" s="29" t="n">
        <x:f>'Assumptions'!F35</x:f>
        <x:v>10000</x:v>
      </x:c>
      <x:c r="G55" s="2"/>
      <x:c r="H55" s="2"/>
    </x:row>
    <x:row r="56" ht="21" customHeight="1">
      <x:c r="C56" s="2" t="str">
        <x:v>Fixed hosting / software</x:v>
      </x:c>
      <x:c r="D56" s="29" t="n">
        <x:f>'Assumptions'!D36</x:f>
        <x:v>2400</x:v>
      </x:c>
      <x:c r="E56" s="29" t="n">
        <x:f>'Assumptions'!E36</x:f>
        <x:v>4800</x:v>
      </x:c>
      <x:c r="F56" s="29" t="n">
        <x:f>'Assumptions'!F36</x:f>
        <x:v>7200</x:v>
      </x:c>
      <x:c r="G56" s="2"/>
      <x:c r="H56" s="2"/>
    </x:row>
    <x:row r="57" ht="21" customHeight="1">
      <x:c r="C57" s="34" t="str">
        <x:v>Fixed operating costs</x:v>
      </x:c>
      <x:c r="D57" s="37" t="n">
        <x:f>SUM(D51:D56)</x:f>
        <x:v>37200</x:v>
      </x:c>
      <x:c r="E57" s="37" t="n">
        <x:f>SUM(E51:E56)</x:f>
        <x:v>78800</x:v>
      </x:c>
      <x:c r="F57" s="37" t="n">
        <x:f>SUM(F51:F56)</x:f>
        <x:v>133200</x:v>
      </x:c>
      <x:c r="G57" s="2"/>
      <x:c r="H57" s="2"/>
    </x:row>
    <x:row r="58" ht="48" customHeight="1">
      <x:c r="C58" s="34" t="str">
        <x:v>Operating result before tax / D&amp;A</x:v>
      </x:c>
      <x:c r="D58" s="37" t="n">
        <x:f>D47-D57</x:f>
        <x:v>-22854.424799999997</x:v>
      </x:c>
      <x:c r="E58" s="37" t="n">
        <x:f>E47-E57</x:f>
        <x:v>-24056.903570000024</x:v>
      </x:c>
      <x:c r="F58" s="37" t="n">
        <x:f>F47-F57</x:f>
        <x:v>20763.297179999994</x:v>
      </x:c>
      <x:c r="G58" s="2"/>
      <x:c r="H58" s="9" t="str">
        <x:v>Operating result is a cash operating proxy before financing, corporate tax, D&amp;A and working-capital timing. It is not net income.</x:v>
      </x:c>
    </x:row>
    <x:row r="59" ht="21" customHeight="1">
      <x:c r="C59" s="22" t="str">
        <x:v>Operating margin</x:v>
      </x:c>
      <x:c r="D59" s="25" t="n">
        <x:f>D58/D36</x:f>
        <x:v>-0.4884175514181668</x:v>
      </x:c>
      <x:c r="E59" s="25" t="n">
        <x:f>E58/E36</x:f>
        <x:v>-0.13475764376124855</x:v>
      </x:c>
      <x:c r="F59" s="25" t="n">
        <x:f>F58/F36</x:f>
        <x:v>0.04053557890549528</x:v>
      </x:c>
      <x:c r="G59" s="2"/>
      <x:c r="H59" s="2"/>
    </x:row>
    <x:row r="60" ht="21" customHeight="1">
      <x:c r="C60" s="2" t="str">
        <x:v>Unpaid founder replacement cost</x:v>
      </x:c>
      <x:c r="D60" s="29" t="n">
        <x:f>MAX(0,'Assumptions'!D44-'Assumptions'!D31)</x:f>
        <x:v>48000</x:v>
      </x:c>
      <x:c r="E60" s="29" t="n">
        <x:f>MAX(0,'Assumptions'!E44-'Assumptions'!E31)</x:f>
        <x:v>30000</x:v>
      </x:c>
      <x:c r="F60" s="29" t="n">
        <x:f>MAX(0,'Assumptions'!F44-'Assumptions'!F31)</x:f>
        <x:v>0</x:v>
      </x:c>
      <x:c r="G60" s="2"/>
      <x:c r="H60" s="2"/>
    </x:row>
    <x:row r="61" ht="21" customHeight="1">
      <x:c r="C61" s="34" t="str">
        <x:v>Result including founder replacement</x:v>
      </x:c>
      <x:c r="D61" s="37" t="n">
        <x:f>D58-D60</x:f>
        <x:v>-70854.4248</x:v>
      </x:c>
      <x:c r="E61" s="37" t="n">
        <x:f>E58-E60</x:f>
        <x:v>-54056.903570000024</x:v>
      </x:c>
      <x:c r="F61" s="37" t="n">
        <x:f>F58-F60</x:f>
        <x:v>20763.297179999994</x:v>
      </x:c>
      <x:c r="G61" s="2"/>
      <x:c r="H61" s="2"/>
    </x:row>
    <x:row r="62" ht="21" customHeight="1">
      <x:c r="C62" s="2" t="str">
        <x:v>Pre-launch cash budget</x:v>
      </x:c>
      <x:c r="D62" s="29" t="n">
        <x:f>'Assumptions'!D45</x:f>
        <x:v>20000</x:v>
      </x:c>
      <x:c r="E62" s="29" t="n">
        <x:f>'Assumptions'!E45</x:f>
        <x:v>0</x:v>
      </x:c>
      <x:c r="F62" s="29" t="n">
        <x:f>'Assumptions'!F45</x:f>
        <x:v>0</x:v>
      </x:c>
      <x:c r="G62" s="2"/>
      <x:c r="H62" s="2"/>
    </x:row>
    <x:row r="63" ht="21" customHeight="1">
      <x:c r="C63" s="2" t="str">
        <x:v>Cumulative cash before financing</x:v>
      </x:c>
      <x:c r="D63" s="30" t="n">
        <x:f>0+D58-D62</x:f>
        <x:v>-42854.42479999999</x:v>
      </x:c>
      <x:c r="E63" s="30" t="n">
        <x:f>D63+E58-E62</x:f>
        <x:v>-66911.32837000002</x:v>
      </x:c>
      <x:c r="F63" s="30" t="n">
        <x:f>E63+F58-F62</x:f>
        <x:v>-46148.03119000002</x:v>
      </x:c>
      <x:c r="G63" s="2"/>
      <x:c r="H63" s="2"/>
    </x:row>
    <x:row r="64" ht="48" customHeight="1">
      <x:c r="C64" s="34" t="str">
        <x:v>Annual-trough funding plus reserve</x:v>
      </x:c>
      <x:c r="D64" s="39" t="n">
        <x:f>MAX(0,-MIN($D63:D63))+'Assumptions'!D46</x:f>
        <x:v>67854.4248</x:v>
      </x:c>
      <x:c r="E64" s="39" t="n">
        <x:f>MAX(0,-MIN($D63:E63))+'Assumptions'!E46</x:f>
        <x:v>91911.32837000002</x:v>
      </x:c>
      <x:c r="F64" s="39" t="n">
        <x:f>MAX(0,-MIN($D63:F63))+'Assumptions'!F46</x:f>
        <x:v>91911.32837000002</x:v>
      </x:c>
      <x:c r="G64" s="2"/>
      <x:c r="H64" s="9" t="str">
        <x:v>Peak cumulative annual deficit plus reserve. Does not capture intrayear seasonality, payment settlement or provider payout timing.</x:v>
      </x:c>
    </x:row>
    <x:row r="65" ht="48" customHeight="1">
      <x:c r="C65" s="2" t="str">
        <x:v>Break-even windows at current mix</x:v>
      </x:c>
      <x:c r="D65" s="3" t="n">
        <x:f>IF(D48&lt;=0,"n.a.",ROUNDUP(D57/D48,0))</x:f>
        <x:v>1868</x:v>
      </x:c>
      <x:c r="E65" s="3" t="n">
        <x:f>IF(E48&lt;=0,"n.a.",ROUNDUP(E57/E48,0))</x:f>
        <x:v>3706</x:v>
      </x:c>
      <x:c r="F65" s="3" t="n">
        <x:f>IF(F48&lt;=0,"n.a.",ROUNDUP(F57/F48,0))</x:f>
        <x:v>5996</x:v>
      </x:c>
      <x:c r="G65" s="2"/>
      <x:c r="H65" s="9" t="str">
        <x:v>Fixed costs divided by contribution per paid window at that year’s price, channel and service mix. Assumes variable economics hold at scale.</x:v>
      </x:c>
    </x:row>
    <x:row r="66" ht="21" customHeight="1">
      <x:c r="C66" s="2" t="str">
        <x:v>Served windows vs break-even</x:v>
      </x:c>
      <x:c r="D66" s="3" t="n">
        <x:f>D20-D65</x:f>
        <x:v>-1148</x:v>
      </x:c>
      <x:c r="E66" s="3" t="n">
        <x:f>E20-E65</x:f>
        <x:v>-1132</x:v>
      </x:c>
      <x:c r="F66" s="3" t="n">
        <x:f>F20-F65</x:f>
        <x:v>934</x:v>
      </x:c>
      <x:c r="G66" s="2"/>
      <x:c r="H66" s="2"/>
    </x:row>
    <x:row r="67" ht="21" customHeight="1">
      <x:c r="C67" s="2" t="str">
        <x:v>Net revenue / inspection booking</x:v>
      </x:c>
      <x:c r="D67" s="31" t="n">
        <x:f>D36/D25</x:f>
        <x:v>46.42142857142857</x:v>
      </x:c>
      <x:c r="E67" s="31" t="n">
        <x:f>E36/E25</x:f>
        <x:v>46.236666666666665</x:v>
      </x:c>
      <x:c r="F67" s="31" t="n">
        <x:f>F36/F25</x:f>
        <x:v>46.19625</x:v>
      </x:c>
      <x:c r="G67" s="2"/>
      <x:c r="H67" s="2"/>
    </x:row>
    <x:row r="68" ht="21" customHeight="1">
      <x:c r="C68" s="2"/>
      <x:c r="D68" s="3"/>
      <x:c r="E68" s="3"/>
      <x:c r="F68" s="3"/>
      <x:c r="G68" s="2"/>
      <x:c r="H68" s="2"/>
    </x:row>
    <x:row r="69" ht="21" customHeight="1">
      <x:c r="C69" s="2"/>
      <x:c r="D69" s="3"/>
      <x:c r="E69" s="3"/>
      <x:c r="F69" s="3"/>
      <x:c r="G69" s="2"/>
      <x:c r="H69" s="2"/>
    </x:row>
    <x:row r="70" ht="21" customHeight="1">
      <x:c r="C70" s="2"/>
      <x:c r="D70" s="3"/>
      <x:c r="E70" s="3"/>
      <x:c r="F70" s="3"/>
      <x:c r="G70" s="2"/>
      <x:c r="H70" s="2"/>
    </x:row>
    <x:row r="71" ht="21" customHeight="1">
      <x:c r="C71" s="2"/>
      <x:c r="D71" s="3"/>
      <x:c r="E71" s="3"/>
      <x:c r="F71" s="3"/>
      <x:c r="G71" s="2"/>
      <x:c r="H71" s="2"/>
    </x:row>
    <x:row r="72" ht="21" customHeight="1">
      <x:c r="C72" s="2"/>
      <x:c r="D72" s="3"/>
      <x:c r="E72" s="3"/>
      <x:c r="F72" s="3"/>
      <x:c r="G72" s="2"/>
      <x:c r="H72" s="2"/>
    </x:row>
    <x:row r="73" ht="21" customHeight="1">
      <x:c r="C73" s="2"/>
      <x:c r="D73" s="3"/>
      <x:c r="E73" s="3"/>
      <x:c r="F73" s="3"/>
      <x:c r="G73" s="2"/>
      <x:c r="H73" s="2"/>
    </x:row>
    <x:row r="74" ht="21" customHeight="1">
      <x:c r="C74" s="2"/>
      <x:c r="D74" s="3"/>
      <x:c r="E74" s="3"/>
      <x:c r="F74" s="3"/>
      <x:c r="G74" s="2"/>
      <x:c r="H74" s="2"/>
    </x:row>
    <x:row r="75" ht="21" customHeight="1">
      <x:c r="C75" s="2"/>
      <x:c r="D75" s="3"/>
      <x:c r="E75" s="3"/>
      <x:c r="F75" s="3"/>
      <x:c r="G75" s="2"/>
      <x:c r="H75" s="2"/>
    </x:row>
    <x:row r="76" ht="21" customHeight="1">
      <x:c r="C76" s="2"/>
      <x:c r="D76" s="3"/>
      <x:c r="E76" s="3"/>
      <x:c r="F76" s="3"/>
      <x:c r="G76" s="2"/>
      <x:c r="H76" s="2"/>
    </x:row>
    <x:row r="77" ht="21" customHeight="1">
      <x:c r="C77" s="2"/>
      <x:c r="D77" s="3"/>
      <x:c r="E77" s="3"/>
      <x:c r="F77" s="3"/>
      <x:c r="G77" s="2"/>
      <x:c r="H77" s="2"/>
    </x:row>
    <x:row r="78" ht="21" customHeight="1">
      <x:c r="C78" s="2"/>
      <x:c r="D78" s="3"/>
      <x:c r="E78" s="3"/>
      <x:c r="F78" s="3"/>
      <x:c r="G78" s="2"/>
      <x:c r="H78" s="2"/>
    </x:row>
    <x:row r="79" ht="21" customHeight="1">
      <x:c r="C79" s="2"/>
      <x:c r="D79" s="3"/>
      <x:c r="E79" s="3"/>
      <x:c r="F79" s="3"/>
      <x:c r="G79" s="2"/>
      <x:c r="H79" s="2"/>
    </x:row>
    <x:row r="80" ht="21" customHeight="1">
      <x:c r="C80" s="2"/>
      <x:c r="D80" s="3"/>
      <x:c r="E80" s="3"/>
      <x:c r="F80" s="3"/>
      <x:c r="G80" s="2"/>
      <x:c r="H80" s="2"/>
    </x:row>
    <x:row r="81" ht="21" customHeight="1">
      <x:c r="C81" s="2"/>
      <x:c r="D81" s="3"/>
      <x:c r="E81" s="3"/>
      <x:c r="F81" s="3"/>
      <x:c r="G81" s="2"/>
      <x:c r="H81" s="2"/>
    </x:row>
    <x:row r="82" ht="21" customHeight="1">
      <x:c r="C82" s="2"/>
      <x:c r="D82" s="3"/>
      <x:c r="E82" s="3"/>
      <x:c r="F82" s="3"/>
      <x:c r="G82" s="2"/>
      <x:c r="H82" s="2"/>
    </x:row>
    <x:row r="83" ht="21" customHeight="1">
      <x:c r="C83" s="2"/>
      <x:c r="D83" s="3"/>
      <x:c r="E83" s="3"/>
      <x:c r="F83" s="3"/>
      <x:c r="G83" s="2"/>
      <x:c r="H83" s="2"/>
    </x:row>
    <x:row r="84" ht="21" customHeight="1">
      <x:c r="C84" s="2"/>
      <x:c r="D84" s="3"/>
      <x:c r="E84" s="3"/>
      <x:c r="F84" s="3"/>
      <x:c r="G84" s="2"/>
      <x:c r="H84" s="2"/>
    </x:row>
    <x:row r="85" ht="21" customHeight="1">
      <x:c r="C85" s="2"/>
      <x:c r="D85" s="3"/>
      <x:c r="E85" s="3"/>
      <x:c r="F85" s="3"/>
      <x:c r="G85" s="2"/>
      <x:c r="H85" s="2"/>
    </x:row>
    <x:row r="86" ht="21" customHeight="1">
      <x:c r="C86" s="2"/>
      <x:c r="D86" s="3"/>
      <x:c r="E86" s="3"/>
      <x:c r="F86" s="3"/>
      <x:c r="G86" s="2"/>
      <x:c r="H86" s="2"/>
    </x:row>
    <x:row r="87" ht="21" customHeight="1">
      <x:c r="C87" s="2"/>
      <x:c r="D87" s="3"/>
      <x:c r="E87" s="3"/>
      <x:c r="F87" s="3"/>
      <x:c r="G87" s="2"/>
      <x:c r="H87" s="2"/>
    </x:row>
    <x:row r="88" ht="21" customHeight="1">
      <x:c r="C88" s="2"/>
      <x:c r="D88" s="3"/>
      <x:c r="E88" s="3"/>
      <x:c r="F88" s="3"/>
      <x:c r="G88" s="2"/>
      <x:c r="H88" s="2"/>
    </x:row>
    <x:row r="89" ht="21" customHeight="1">
      <x:c r="C89" s="2"/>
      <x:c r="D89" s="3"/>
      <x:c r="E89" s="3"/>
      <x:c r="F89" s="3"/>
      <x:c r="G89" s="2"/>
      <x:c r="H89" s="2"/>
    </x:row>
    <x:row r="90" ht="21" customHeight="1">
      <x:c r="C90" s="2"/>
      <x:c r="D90" s="3"/>
      <x:c r="E90" s="3"/>
      <x:c r="F90" s="3"/>
      <x:c r="G90" s="2"/>
      <x:c r="H90" s="2"/>
    </x:row>
    <x:row r="91" ht="21" customHeight="1">
      <x:c r="C91" s="2"/>
      <x:c r="D91" s="3"/>
      <x:c r="E91" s="3"/>
      <x:c r="F91" s="3"/>
      <x:c r="G91" s="2"/>
      <x:c r="H91" s="2"/>
    </x:row>
    <x:row r="92" ht="21" customHeight="1">
      <x:c r="C92" s="2"/>
      <x:c r="D92" s="3"/>
      <x:c r="E92" s="3"/>
      <x:c r="F92" s="3"/>
      <x:c r="G92" s="2"/>
      <x:c r="H92" s="2"/>
    </x:row>
    <x:row r="93" ht="21" customHeight="1">
      <x:c r="C93" s="2"/>
      <x:c r="D93" s="3"/>
      <x:c r="E93" s="3"/>
      <x:c r="F93" s="3"/>
      <x:c r="G93" s="2"/>
      <x:c r="H93" s="2"/>
    </x:row>
    <x:row r="94" ht="21" customHeight="1">
      <x:c r="C94" s="2"/>
      <x:c r="D94" s="3"/>
      <x:c r="E94" s="3"/>
      <x:c r="F94" s="3"/>
      <x:c r="G94" s="2"/>
      <x:c r="H94" s="2"/>
    </x:row>
    <x:row r="95" ht="21" customHeight="1">
      <x:c r="C95" s="2"/>
      <x:c r="D95" s="3"/>
      <x:c r="E95" s="3"/>
      <x:c r="F95" s="3"/>
      <x:c r="G95" s="2"/>
      <x:c r="H95" s="2"/>
    </x:row>
    <x:row r="96" ht="21" customHeight="1">
      <x:c r="C96" s="2"/>
      <x:c r="D96" s="3"/>
      <x:c r="E96" s="3"/>
      <x:c r="F96" s="3"/>
      <x:c r="G96" s="2"/>
      <x:c r="H96" s="2"/>
    </x:row>
    <x:row r="97" ht="21" customHeight="1">
      <x:c r="C97" s="2"/>
      <x:c r="D97" s="3"/>
      <x:c r="E97" s="3"/>
      <x:c r="F97" s="3"/>
      <x:c r="G97" s="2"/>
      <x:c r="H97" s="2"/>
    </x:row>
    <x:row r="98" ht="21" customHeight="1">
      <x:c r="C98" s="2"/>
      <x:c r="D98" s="3"/>
      <x:c r="E98" s="3"/>
      <x:c r="F98" s="3"/>
      <x:c r="G98" s="2"/>
      <x:c r="H98" s="2"/>
    </x:row>
    <x:row r="99" ht="21" customHeight="1">
      <x:c r="C99" s="2"/>
      <x:c r="D99" s="3"/>
      <x:c r="E99" s="3"/>
      <x:c r="F99" s="3"/>
      <x:c r="G99" s="2"/>
      <x:c r="H99" s="2"/>
    </x:row>
    <x:row r="100" ht="21" customHeight="1">
      <x:c r="C100" s="2"/>
      <x:c r="D100" s="3"/>
      <x:c r="E100" s="3"/>
      <x:c r="F100" s="3"/>
      <x:c r="G100" s="2"/>
      <x:c r="H100" s="2"/>
    </x:row>
    <x:row r="101" ht="21" customHeight="1">
      <x:c r="C101" s="2"/>
      <x:c r="D101" s="3"/>
      <x:c r="E101" s="3"/>
      <x:c r="F101" s="3"/>
      <x:c r="G101" s="2"/>
      <x:c r="H101" s="2"/>
    </x:row>
    <x:row r="102" ht="21" customHeight="1">
      <x:c r="C102" s="2"/>
      <x:c r="D102" s="3"/>
      <x:c r="E102" s="3"/>
      <x:c r="F102" s="3"/>
      <x:c r="G102" s="2"/>
      <x:c r="H102" s="2"/>
    </x:row>
    <x:row r="103" ht="21" customHeight="1">
      <x:c r="C103" s="2"/>
      <x:c r="D103" s="3"/>
      <x:c r="E103" s="3"/>
      <x:c r="F103" s="3"/>
      <x:c r="G103" s="2"/>
      <x:c r="H103" s="2"/>
    </x:row>
    <x:row r="104" ht="21" customHeight="1">
      <x:c r="C104" s="2"/>
      <x:c r="D104" s="3"/>
      <x:c r="E104" s="3"/>
      <x:c r="F104" s="3"/>
      <x:c r="G104" s="2"/>
      <x:c r="H104" s="2"/>
    </x:row>
    <x:row r="105" ht="21" customHeight="1">
      <x:c r="C105" s="2"/>
      <x:c r="D105" s="3"/>
      <x:c r="E105" s="3"/>
      <x:c r="F105" s="3"/>
      <x:c r="G105" s="2"/>
      <x:c r="H105" s="2"/>
    </x:row>
  </x:sheetData>
  <x:conditionalFormatting sqref="D21:F21">
    <x:cfRule type="cellIs" dxfId="0" priority="1" operator="greaterThan">
      <x:formula>0</x:formula>
    </x:cfRule>
  </x:conditionalFormatting>
  <x:conditionalFormatting sqref="D66:F66">
    <x:cfRule type="cellIs" dxfId="1" priority="2" operator="lessThan">
      <x:formula>0</x:formula>
    </x:cfRule>
  </x:conditionalFormatting>
  <x:pageMargins left="0.7" right="0.7" top="0.75" bottom="0.75" header="0.3" footer="0.3"/>
</x:worksheet>
</file>